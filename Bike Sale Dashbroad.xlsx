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uxhieeu\Downloads\"/>
    </mc:Choice>
  </mc:AlternateContent>
  <xr:revisionPtr revIDLastSave="0" documentId="8_{6D1DCA4B-9AAF-4113-AEA8-29EBFA2370F1}" xr6:coauthVersionLast="47" xr6:coauthVersionMax="47" xr10:uidLastSave="{00000000-0000-0000-0000-000000000000}"/>
  <bookViews>
    <workbookView xWindow="-110" yWindow="-110" windowWidth="25820" windowHeight="13900" activeTab="1" xr2:uid="{00000000-000D-0000-FFFF-FFFF00000000}"/>
  </bookViews>
  <sheets>
    <sheet name="Working Shee" sheetId="1" r:id="rId1"/>
    <sheet name="Dashbroad" sheetId="2" r:id="rId2"/>
    <sheet name="Pivot Table" sheetId="3" r:id="rId3"/>
    <sheet name="bike_buyers" sheetId="5" r:id="rId4"/>
  </sheets>
  <definedNames>
    <definedName name="_xlnm._FilterDatabase" localSheetId="3" hidden="1">bike_buyers!$A$1:$M$1001</definedName>
    <definedName name="_xlnm._FilterDatabase" localSheetId="0" hidden="1">'Working Shee'!$A$1:$O$1001</definedName>
    <definedName name="Slicer_Education">#N/A</definedName>
    <definedName name="Slicer_Marital_Status">#N/A</definedName>
    <definedName name="Slicer_Region">#N/A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<sst xmlns="http://schemas.openxmlformats.org/spreadsheetml/2006/main" count="16275" uniqueCount="52">
  <si>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</si>
  <si>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</si>
  <si>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</si>
  <si>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</si>
  <si>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</si>
  <si>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</si>
  <si>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</si>
  <si>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</si>
  <si>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</si>
  <si>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</si>
  <si>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</si>
  <si>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</si>
  <si>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</si>
  <si>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</si>
  <si>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</si>
  <si>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</si>
  <si>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</si>
  <si>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</si>
  <si>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</si>
  <si>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</si>
  <si>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</si>
  <si>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</si>
  <si>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</si>
  <si>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</si>
  <si>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</si>
  <si>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</si>
  <si>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</si>
  <si>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</si>
  <si>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</si>
  <si>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</si>
  <si>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</si>
  <si>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</si>
  <si>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</si>
  <si>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</si>
  <si>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</si>
  <si>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</si>
  <si>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</si>
  <si>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</si>
  <si>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</si>
  <si>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</si>
  <si>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</si>
  <si>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</si>
  <si>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</si>
  <si>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</si>
  <si>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</si>
  <si>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</si>
  <si>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</si>
  <si>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</si>
  <si>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</si>
  <si>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</si>
  <si>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</si>
  <si>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 Dashbroad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</si>
</sst>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0\ &quot;zł&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7" formatCode="#,##0\ &quot;zł&quot;"/>
    </dxf>
    <dxf>
      <numFmt numFmtId="167" formatCode="#,##0\ &quot;zł&quot;"/>
    </dxf>
    <dxf>
      <numFmt numFmtId="167" formatCode="#,##0\ &quot;zł&quot;"/>
    </dxf>
    <dxf>
      <numFmt numFmtId="167" formatCode="#,##0\ &quot;zł&quot;"/>
    </dxf>
    <dxf>
      <numFmt numFmtId="167" formatCode="#,##0\ &quot;zł&quot;"/>
    </dxf>
    <dxf>
      <numFmt numFmtId="167" formatCode="#,##0\ &quot;zł&quot;"/>
    </dxf>
    <dxf>
      <numFmt numFmtId="167" formatCode="#,##0\ &quot;zł&quot;"/>
    </dxf>
    <dxf>
      <numFmt numFmtId="167" formatCode="#,##0\ &quot;zł&quot;"/>
    </dxf>
    <dxf>
      <numFmt numFmtId="167" formatCode="#,##0\ &quot;zł&quot;"/>
    </dxf>
    <dxf>
      <numFmt numFmtId="167" formatCode="#,##0\ &quot;zł&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 Dashbroad.xlsx]Pivot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162-44C9-8FE7-D6DFEC7D755C}"/>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162-44C9-8FE7-D6DFEC7D755C}"/>
            </c:ext>
          </c:extLst>
        </c:ser>
        <c:dLbls>
          <c:showLegendKey val="0"/>
          <c:showVal val="0"/>
          <c:showCatName val="0"/>
          <c:showSerName val="0"/>
          <c:showPercent val="0"/>
          <c:showBubbleSize val="0"/>
        </c:dLbls>
        <c:smooth val="0"/>
        <c:axId val="1102554768"/>
        <c:axId val="1102556688"/>
      </c:lineChart>
      <c:catAx>
        <c:axId val="1102554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56688"/>
        <c:crosses val="autoZero"/>
        <c:auto val="1"/>
        <c:lblAlgn val="ctr"/>
        <c:lblOffset val="100"/>
        <c:noMultiLvlLbl val="0"/>
      </c:catAx>
      <c:valAx>
        <c:axId val="110255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5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 Dashbroad.xlsx]Pivot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0717-4D96-8720-850E17ABE1C5}"/>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0717-4D96-8720-850E17ABE1C5}"/>
            </c:ext>
          </c:extLst>
        </c:ser>
        <c:dLbls>
          <c:showLegendKey val="0"/>
          <c:showVal val="0"/>
          <c:showCatName val="0"/>
          <c:showSerName val="0"/>
          <c:showPercent val="0"/>
          <c:showBubbleSize val="0"/>
        </c:dLbls>
        <c:marker val="1"/>
        <c:smooth val="0"/>
        <c:axId val="1371360704"/>
        <c:axId val="1371357824"/>
      </c:lineChart>
      <c:catAx>
        <c:axId val="1371360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357824"/>
        <c:crosses val="autoZero"/>
        <c:auto val="1"/>
        <c:lblAlgn val="ctr"/>
        <c:lblOffset val="100"/>
        <c:noMultiLvlLbl val="0"/>
      </c:catAx>
      <c:valAx>
        <c:axId val="137135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36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 Dashbroad.xlsx]Pivot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 "zł"</c:formatCode>
                <c:ptCount val="2"/>
                <c:pt idx="0">
                  <c:v>53440</c:v>
                </c:pt>
                <c:pt idx="1">
                  <c:v>56208.178438661707</c:v>
                </c:pt>
              </c:numCache>
            </c:numRef>
          </c:val>
          <c:extLst>
            <c:ext xmlns:c16="http://schemas.microsoft.com/office/drawing/2014/chart" uri="{C3380CC4-5D6E-409C-BE32-E72D297353CC}">
              <c16:uniqueId val="{00000000-C3DA-4A6A-A17E-AE8C97CBDF1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 "zł"</c:formatCode>
                <c:ptCount val="2"/>
                <c:pt idx="0">
                  <c:v>55774.058577405856</c:v>
                </c:pt>
                <c:pt idx="1">
                  <c:v>60123.966942148763</c:v>
                </c:pt>
              </c:numCache>
            </c:numRef>
          </c:val>
          <c:extLst>
            <c:ext xmlns:c16="http://schemas.microsoft.com/office/drawing/2014/chart" uri="{C3380CC4-5D6E-409C-BE32-E72D297353CC}">
              <c16:uniqueId val="{00000001-C3DA-4A6A-A17E-AE8C97CBDF13}"/>
            </c:ext>
          </c:extLst>
        </c:ser>
        <c:dLbls>
          <c:showLegendKey val="0"/>
          <c:showVal val="0"/>
          <c:showCatName val="0"/>
          <c:showSerName val="0"/>
          <c:showPercent val="0"/>
          <c:showBubbleSize val="0"/>
        </c:dLbls>
        <c:gapWidth val="150"/>
        <c:axId val="1102549008"/>
        <c:axId val="1102549488"/>
      </c:barChart>
      <c:catAx>
        <c:axId val="110254900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49488"/>
        <c:crosses val="autoZero"/>
        <c:auto val="1"/>
        <c:lblAlgn val="ctr"/>
        <c:lblOffset val="100"/>
        <c:noMultiLvlLbl val="0"/>
      </c:catAx>
      <c:valAx>
        <c:axId val="1102549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zł&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49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 Dashbroad.xlsx]Pivot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 "zł"</c:formatCode>
                <c:ptCount val="2"/>
                <c:pt idx="0">
                  <c:v>53440</c:v>
                </c:pt>
                <c:pt idx="1">
                  <c:v>56208.178438661707</c:v>
                </c:pt>
              </c:numCache>
            </c:numRef>
          </c:val>
          <c:extLst>
            <c:ext xmlns:c16="http://schemas.microsoft.com/office/drawing/2014/chart" uri="{C3380CC4-5D6E-409C-BE32-E72D297353CC}">
              <c16:uniqueId val="{00000000-5D16-4520-9190-0B944766DB5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 "zł"</c:formatCode>
                <c:ptCount val="2"/>
                <c:pt idx="0">
                  <c:v>55774.058577405856</c:v>
                </c:pt>
                <c:pt idx="1">
                  <c:v>60123.966942148763</c:v>
                </c:pt>
              </c:numCache>
            </c:numRef>
          </c:val>
          <c:extLst>
            <c:ext xmlns:c16="http://schemas.microsoft.com/office/drawing/2014/chart" uri="{C3380CC4-5D6E-409C-BE32-E72D297353CC}">
              <c16:uniqueId val="{00000001-5D16-4520-9190-0B944766DB5E}"/>
            </c:ext>
          </c:extLst>
        </c:ser>
        <c:dLbls>
          <c:showLegendKey val="0"/>
          <c:showVal val="0"/>
          <c:showCatName val="0"/>
          <c:showSerName val="0"/>
          <c:showPercent val="0"/>
          <c:showBubbleSize val="0"/>
        </c:dLbls>
        <c:gapWidth val="150"/>
        <c:axId val="1102549008"/>
        <c:axId val="1102549488"/>
      </c:barChart>
      <c:catAx>
        <c:axId val="110254900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49488"/>
        <c:crosses val="autoZero"/>
        <c:auto val="1"/>
        <c:lblAlgn val="ctr"/>
        <c:lblOffset val="100"/>
        <c:noMultiLvlLbl val="0"/>
      </c:catAx>
      <c:valAx>
        <c:axId val="1102549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zł&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49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 Dashbroad.xlsx]Pivot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C45-4805-8451-EEDBB2F2C862}"/>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C45-4805-8451-EEDBB2F2C862}"/>
            </c:ext>
          </c:extLst>
        </c:ser>
        <c:dLbls>
          <c:showLegendKey val="0"/>
          <c:showVal val="0"/>
          <c:showCatName val="0"/>
          <c:showSerName val="0"/>
          <c:showPercent val="0"/>
          <c:showBubbleSize val="0"/>
        </c:dLbls>
        <c:smooth val="0"/>
        <c:axId val="1102554768"/>
        <c:axId val="1102556688"/>
      </c:lineChart>
      <c:catAx>
        <c:axId val="1102554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56688"/>
        <c:crosses val="autoZero"/>
        <c:auto val="1"/>
        <c:lblAlgn val="ctr"/>
        <c:lblOffset val="100"/>
        <c:noMultiLvlLbl val="0"/>
      </c:catAx>
      <c:valAx>
        <c:axId val="110255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5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 Dashbroad.xlsx]Pivot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F19A-4637-AC04-D429814BD499}"/>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F19A-4637-AC04-D429814BD499}"/>
            </c:ext>
          </c:extLst>
        </c:ser>
        <c:dLbls>
          <c:showLegendKey val="0"/>
          <c:showVal val="0"/>
          <c:showCatName val="0"/>
          <c:showSerName val="0"/>
          <c:showPercent val="0"/>
          <c:showBubbleSize val="0"/>
        </c:dLbls>
        <c:marker val="1"/>
        <c:smooth val="0"/>
        <c:axId val="1371360704"/>
        <c:axId val="1371357824"/>
      </c:lineChart>
      <c:catAx>
        <c:axId val="1371360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357824"/>
        <c:crosses val="autoZero"/>
        <c:auto val="1"/>
        <c:lblAlgn val="ctr"/>
        <c:lblOffset val="100"/>
        <c:noMultiLvlLbl val="0"/>
      </c:catAx>
      <c:valAx>
        <c:axId val="137135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36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211667</xdr:colOff>
      <xdr:row>38</xdr:row>
      <xdr:rowOff>67737</xdr:rowOff>
    </xdr:from>
    <xdr:to>
      <xdr:col>19</xdr:col>
      <xdr:colOff>1</xdr:colOff>
      <xdr:row>55</xdr:row>
      <xdr:rowOff>137586</xdr:rowOff>
    </xdr:to>
    <xdr:graphicFrame macro="">
      <xdr:nvGraphicFramePr>
        <xdr:cNvPr id="3" name="Chart 2">
          <a:extLst>
            <a:ext uri="{FF2B5EF4-FFF2-40B4-BE49-F238E27FC236}">
              <a16:creationId xmlns:a16="http://schemas.microsoft.com/office/drawing/2014/main" id="{246A376E-1559-45E2-9B5D-91423E351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338666</xdr:colOff>
      <xdr:row>21</xdr:row>
      <xdr:rowOff>25399</xdr:rowOff>
    </xdr:from>
    <xdr:to>
      <xdr:col>19</xdr:col>
      <xdr:colOff>8465</xdr:colOff>
      <xdr:row>37</xdr:row>
      <xdr:rowOff>186265</xdr:rowOff>
    </xdr:to>
    <xdr:graphicFrame macro="">
      <xdr:nvGraphicFramePr>
        <xdr:cNvPr id="4" name="Chart 3">
          <a:extLst>
            <a:ext uri="{FF2B5EF4-FFF2-40B4-BE49-F238E27FC236}">
              <a16:creationId xmlns:a16="http://schemas.microsoft.com/office/drawing/2014/main" id="{D108A202-9C6C-4DCB-B411-375FD6ADD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203192</xdr:colOff>
      <xdr:row>21</xdr:row>
      <xdr:rowOff>23283</xdr:rowOff>
    </xdr:from>
    <xdr:to>
      <xdr:col>10</xdr:col>
      <xdr:colOff>287859</xdr:colOff>
      <xdr:row>38</xdr:row>
      <xdr:rowOff>4233</xdr:rowOff>
    </xdr:to>
    <xdr:graphicFrame macro="">
      <xdr:nvGraphicFramePr>
        <xdr:cNvPr id="5" name="Chart 4">
          <a:extLst>
            <a:ext uri="{FF2B5EF4-FFF2-40B4-BE49-F238E27FC236}">
              <a16:creationId xmlns:a16="http://schemas.microsoft.com/office/drawing/2014/main" id="{4187C3CC-0F84-4B87-9013-E1F80BC53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59268</xdr:colOff>
      <xdr:row>21</xdr:row>
      <xdr:rowOff>38100</xdr:rowOff>
    </xdr:from>
    <xdr:to>
      <xdr:col>2</xdr:col>
      <xdr:colOff>152400</xdr:colOff>
      <xdr:row>26</xdr:row>
      <xdr:rowOff>101600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3429FFC-FB93-9852-63D8-2B3308FCDBD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9268" y="3949700"/>
              <a:ext cx="1312332" cy="994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71967</xdr:colOff>
      <xdr:row>26</xdr:row>
      <xdr:rowOff>177802</xdr:rowOff>
    </xdr:from>
    <xdr:to>
      <xdr:col>2</xdr:col>
      <xdr:colOff>152400</xdr:colOff>
      <xdr:row>36</xdr:row>
      <xdr:rowOff>50801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F132086-3693-45E5-1E2B-922E1CA9893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1967" y="5020735"/>
              <a:ext cx="1299633" cy="1735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65617</xdr:colOff>
      <xdr:row>36</xdr:row>
      <xdr:rowOff>120650</xdr:rowOff>
    </xdr:from>
    <xdr:to>
      <xdr:col>2</xdr:col>
      <xdr:colOff>143933</xdr:colOff>
      <xdr:row>43</xdr:row>
      <xdr:rowOff>50800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7807822-7A3C-546A-50BF-316822B842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5617" y="6826250"/>
              <a:ext cx="1297516" cy="1234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508000</xdr:colOff>
      <xdr:row>2</xdr:row>
      <xdr:rowOff>101600</xdr:rowOff>
    </xdr:from>
    <xdr:to>
      <xdr:col>12</xdr:col>
      <xdr:colOff>203200</xdr:colOff>
      <xdr:row>17</xdr:row>
      <xdr:rowOff>82550</xdr:rowOff>
    </xdr:to>
    <xdr:graphicFrame macro="">
      <xdr:nvGraphicFramePr>
        <xdr:cNvPr id="2" name="Chart 1">
          <a:extLst>
            <a:ext uri="{FF2B5EF4-FFF2-40B4-BE49-F238E27FC236}">
              <a16:creationId xmlns:a16="http://schemas.microsoft.com/office/drawing/2014/main" id="{C1FEB242-097C-2E29-1FDD-DA79B163E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463550</xdr:colOff>
      <xdr:row>19</xdr:row>
      <xdr:rowOff>25400</xdr:rowOff>
    </xdr:from>
    <xdr:to>
      <xdr:col>12</xdr:col>
      <xdr:colOff>158750</xdr:colOff>
      <xdr:row>34</xdr:row>
      <xdr:rowOff>6350</xdr:rowOff>
    </xdr:to>
    <xdr:graphicFrame macro="">
      <xdr:nvGraphicFramePr>
        <xdr:cNvPr id="3" name="Chart 2">
          <a:extLst>
            <a:ext uri="{FF2B5EF4-FFF2-40B4-BE49-F238E27FC236}">
              <a16:creationId xmlns:a16="http://schemas.microsoft.com/office/drawing/2014/main" id="{33514614-1D1E-10CF-FBDB-DECA223E8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476250</xdr:colOff>
      <xdr:row>34</xdr:row>
      <xdr:rowOff>139700</xdr:rowOff>
    </xdr:from>
    <xdr:to>
      <xdr:col>12</xdr:col>
      <xdr:colOff>171450</xdr:colOff>
      <xdr:row>49</xdr:row>
      <xdr:rowOff>120650</xdr:rowOff>
    </xdr:to>
    <xdr:graphicFrame macro="">
      <xdr:nvGraphicFramePr>
        <xdr:cNvPr id="4" name="Chart 3">
          <a:extLst>
            <a:ext uri="{FF2B5EF4-FFF2-40B4-BE49-F238E27FC236}">
              <a16:creationId xmlns:a16="http://schemas.microsoft.com/office/drawing/2014/main" id="{472299BC-E391-EB65-8DB3-D252DE776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uxhieeu" refreshedDate="46093.790478009258" createdVersion="8" refreshedVersion="8" minRefreshableVersion="3" recordCount="1000" xr:uid="{794ACC46-4E9F-4BF8-AF79-4AC338C19530}">
  <cacheSource type="worksheet">
    <worksheetSource ref="A1:N1001" sheet="Working Shee"/>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09979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B49328-9446-4E7D-8F6F-EE2DB4F9B074}"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3:D108" firstHeaderRow="1" firstDataRow="2" firstDataCol="1"/>
  <pivotFields count="14">
    <pivotField showAll="0"/>
    <pivotField showAll="0">
      <items count="3">
        <item x="0"/>
        <item x="1"/>
        <item t="default"/>
      </items>
    </pivotField>
    <pivotField showAll="0"/>
    <pivotField numFmtId="167"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B1FA15-3197-47C1-9900-1C27D608ED07}"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9:D44" firstHeaderRow="1" firstDataRow="2" firstDataCol="1"/>
  <pivotFields count="14">
    <pivotField showAll="0"/>
    <pivotField showAll="0">
      <items count="3">
        <item x="0"/>
        <item x="1"/>
        <item t="default"/>
      </items>
    </pivotField>
    <pivotField showAll="0"/>
    <pivotField numFmtId="167"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463210-0ACE-40F4-A1E5-5529DEFDFAC6}"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D28" firstHeaderRow="1" firstDataRow="2" firstDataCol="1"/>
  <pivotFields count="14">
    <pivotField showAll="0"/>
    <pivotField showAll="0">
      <items count="3">
        <item x="0"/>
        <item x="1"/>
        <item t="default"/>
      </items>
    </pivotField>
    <pivotField showAll="0"/>
    <pivotField numFmtId="167" showAll="0"/>
    <pivotField showAll="0"/>
    <pivotField showAll="0"/>
    <pivotField showAll="0"/>
    <pivotField showAll="0"/>
    <pivotField showAll="0"/>
    <pivotField axis="axisRow" showAll="0" sortType="ascending">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91BE4C-465B-4CD2-B44C-7D69B05A92D4}"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formats count="1">
    <format dxfId="9">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797DD42-2D8F-48F0-A92D-A2BB86F2E03C}" sourceName="Marital Status">
  <pivotTables>
    <pivotTable tabId="3" name="PivotTable1"/>
    <pivotTable tabId="3" name="PivotTable2"/>
    <pivotTable tabId="3" name="PivotTable3"/>
    <pivotTable tabId="3" name="PivotTable4"/>
  </pivotTables>
  <data>
    <tabular pivotCacheId="5099798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7644B9F-B525-43FE-9FDE-72EA4E724622}" sourceName="Education">
  <pivotTables>
    <pivotTable tabId="3" name="PivotTable1"/>
  </pivotTables>
  <data>
    <tabular pivotCacheId="50997980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0BBAF0-D642-45C6-A89B-9CEDA36ADEDE}" sourceName="Region">
  <pivotTables>
    <pivotTable tabId="3" name="PivotTable1"/>
  </pivotTables>
  <data>
    <tabular pivotCacheId="50997980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B72EE28-26C1-4E6A-8E11-55EE1607B3D8}" cache="Slicer_Marital_Status" caption="Marital Status" rowHeight="241300"/>
  <slicer name="Education" xr10:uid="{5D855239-422C-431C-968B-9E874AF4B7F0}" cache="Slicer_Education" caption="Education" rowHeight="241300"/>
  <slicer name="Region" xr10:uid="{DC8234CD-CD55-4C8E-B770-5FF8E0B2291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B1" workbookViewId="0">
      <selection activeCell="M2" sqref="M2"/>
    </sheetView>
  </sheetViews>
  <sheetFormatPr defaultColWidth="11.90625" defaultRowHeight="14.5" x14ac:dyDescent="0.35"/>
  <cols>
    <col min="4" max="4" width="11.90625" style="3"/>
    <col min="14" max="14" width="15.453125" customWidth="1"/>
  </cols>
  <sheetData>
    <row r="1" spans="1:15" x14ac:dyDescent="0.35">
      <c r="A1" t="s">
        <v>0</v>
      </c>
      <c r="B1" t="s">
        <v>1</v>
      </c>
      <c r="C1" t="s">
        <v>2</v>
      </c>
      <c r="D1" s="3" t="s">
        <v>3</v>
      </c>
      <c r="E1" t="s">
        <v>4</v>
      </c>
      <c r="F1" t="s">
        <v>5</v>
      </c>
      <c r="G1" t="s">
        <v>6</v>
      </c>
      <c r="H1" t="s">
        <v>7</v>
      </c>
      <c r="I1" t="s">
        <v>8</v>
      </c>
      <c r="J1" t="s">
        <v>9</v>
      </c>
      <c r="K1" t="s">
        <v>10</v>
      </c>
      <c r="L1" t="s">
        <v>11</v>
      </c>
      <c r="M1" t="s">
        <v>41</v>
      </c>
      <c r="N1" t="s">
        <v>12</v>
      </c>
    </row>
    <row r="2" spans="1:15" x14ac:dyDescent="0.35">
      <c r="A2">
        <v>12496</v>
      </c>
      <c r="B2" t="s">
        <v>37</v>
      </c>
      <c r="C2" t="s">
        <v>39</v>
      </c>
      <c r="D2" s="3">
        <v>40000</v>
      </c>
      <c r="E2">
        <v>1</v>
      </c>
      <c r="F2" t="s">
        <v>13</v>
      </c>
      <c r="G2" t="s">
        <v>14</v>
      </c>
      <c r="H2" t="s">
        <v>15</v>
      </c>
      <c r="I2">
        <v>0</v>
      </c>
      <c r="J2" t="s">
        <v>16</v>
      </c>
      <c r="K2" t="s">
        <v>17</v>
      </c>
      <c r="L2">
        <v>42</v>
      </c>
      <c r="M2" t="str">
        <f>IF(L2&gt;55,"Old",IF(L2&gt;=31, "Middle Age",IF(L2&lt;31, "Adolescent","Invalid")))</f>
        <v>Middle Age</v>
      </c>
      <c r="N2" t="s">
        <v>18</v>
      </c>
    </row>
    <row r="3" spans="1:15" x14ac:dyDescent="0.35">
      <c r="A3">
        <v>24107</v>
      </c>
      <c r="B3" t="s">
        <v>37</v>
      </c>
      <c r="C3" t="s">
        <v>40</v>
      </c>
      <c r="D3" s="3">
        <v>30000</v>
      </c>
      <c r="E3">
        <v>3</v>
      </c>
      <c r="F3" t="s">
        <v>19</v>
      </c>
      <c r="G3" t="s">
        <v>20</v>
      </c>
      <c r="H3" t="s">
        <v>15</v>
      </c>
      <c r="I3">
        <v>1</v>
      </c>
      <c r="J3" t="s">
        <v>16</v>
      </c>
      <c r="K3" t="s">
        <v>17</v>
      </c>
      <c r="L3">
        <v>43</v>
      </c>
      <c r="M3" t="str">
        <f t="shared" ref="M3:M66" si="0">IF(L3&gt;55,"Old",IF(L3&gt;=31, "Middle Age",IF(L3&lt;31, "Adolescent","Invalid")))</f>
        <v>Middle Age</v>
      </c>
      <c r="N3" t="s">
        <v>18</v>
      </c>
    </row>
    <row r="4" spans="1:15" x14ac:dyDescent="0.35">
      <c r="A4">
        <v>14177</v>
      </c>
      <c r="B4" t="s">
        <v>37</v>
      </c>
      <c r="C4" t="s">
        <v>40</v>
      </c>
      <c r="D4" s="3">
        <v>80000</v>
      </c>
      <c r="E4">
        <v>5</v>
      </c>
      <c r="F4" t="s">
        <v>19</v>
      </c>
      <c r="G4" t="s">
        <v>21</v>
      </c>
      <c r="H4" t="s">
        <v>18</v>
      </c>
      <c r="I4">
        <v>2</v>
      </c>
      <c r="J4" t="s">
        <v>22</v>
      </c>
      <c r="K4" t="s">
        <v>17</v>
      </c>
      <c r="L4">
        <v>60</v>
      </c>
      <c r="M4" t="str">
        <f t="shared" si="0"/>
        <v>Old</v>
      </c>
      <c r="N4" t="s">
        <v>18</v>
      </c>
    </row>
    <row r="5" spans="1:15" x14ac:dyDescent="0.35">
      <c r="A5">
        <v>24381</v>
      </c>
      <c r="B5" t="s">
        <v>38</v>
      </c>
      <c r="C5" t="s">
        <v>40</v>
      </c>
      <c r="D5" s="3">
        <v>70000</v>
      </c>
      <c r="E5">
        <v>0</v>
      </c>
      <c r="F5" t="s">
        <v>13</v>
      </c>
      <c r="G5" t="s">
        <v>21</v>
      </c>
      <c r="H5" t="s">
        <v>15</v>
      </c>
      <c r="I5">
        <v>1</v>
      </c>
      <c r="J5" t="s">
        <v>23</v>
      </c>
      <c r="K5" t="s">
        <v>24</v>
      </c>
      <c r="L5">
        <v>41</v>
      </c>
      <c r="M5" t="str">
        <f t="shared" si="0"/>
        <v>Middle Age</v>
      </c>
      <c r="N5" t="s">
        <v>15</v>
      </c>
      <c r="O5" t="s">
        <v>36</v>
      </c>
    </row>
    <row r="6" spans="1:15" x14ac:dyDescent="0.35">
      <c r="A6">
        <v>25597</v>
      </c>
      <c r="B6" t="s">
        <v>38</v>
      </c>
      <c r="C6" t="s">
        <v>40</v>
      </c>
      <c r="D6" s="3">
        <v>30000</v>
      </c>
      <c r="E6">
        <v>0</v>
      </c>
      <c r="F6" t="s">
        <v>13</v>
      </c>
      <c r="G6" t="s">
        <v>20</v>
      </c>
      <c r="H6" t="s">
        <v>18</v>
      </c>
      <c r="I6">
        <v>0</v>
      </c>
      <c r="J6" t="s">
        <v>16</v>
      </c>
      <c r="K6" t="s">
        <v>17</v>
      </c>
      <c r="L6">
        <v>36</v>
      </c>
      <c r="M6" t="str">
        <f t="shared" si="0"/>
        <v>Middle Age</v>
      </c>
      <c r="N6" t="s">
        <v>15</v>
      </c>
    </row>
    <row r="7" spans="1:15" x14ac:dyDescent="0.35">
      <c r="A7">
        <v>13507</v>
      </c>
      <c r="B7" t="s">
        <v>37</v>
      </c>
      <c r="C7" t="s">
        <v>39</v>
      </c>
      <c r="D7" s="3">
        <v>10000</v>
      </c>
      <c r="E7">
        <v>2</v>
      </c>
      <c r="F7" t="s">
        <v>19</v>
      </c>
      <c r="G7" t="s">
        <v>25</v>
      </c>
      <c r="H7" t="s">
        <v>15</v>
      </c>
      <c r="I7">
        <v>0</v>
      </c>
      <c r="J7" t="s">
        <v>26</v>
      </c>
      <c r="K7" t="s">
        <v>17</v>
      </c>
      <c r="L7">
        <v>50</v>
      </c>
      <c r="M7" t="str">
        <f t="shared" si="0"/>
        <v>Middle Age</v>
      </c>
      <c r="N7" t="s">
        <v>18</v>
      </c>
    </row>
    <row r="8" spans="1:15" x14ac:dyDescent="0.35">
      <c r="A8">
        <v>27974</v>
      </c>
      <c r="B8" t="s">
        <v>38</v>
      </c>
      <c r="C8" t="s">
        <v>40</v>
      </c>
      <c r="D8" s="3">
        <v>160000</v>
      </c>
      <c r="E8">
        <v>2</v>
      </c>
      <c r="F8" t="s">
        <v>27</v>
      </c>
      <c r="G8" t="s">
        <v>28</v>
      </c>
      <c r="H8" t="s">
        <v>15</v>
      </c>
      <c r="I8">
        <v>4</v>
      </c>
      <c r="J8" t="s">
        <v>16</v>
      </c>
      <c r="K8" t="s">
        <v>24</v>
      </c>
      <c r="L8">
        <v>33</v>
      </c>
      <c r="M8" t="str">
        <f t="shared" si="0"/>
        <v>Middle Age</v>
      </c>
      <c r="N8" t="s">
        <v>15</v>
      </c>
    </row>
    <row r="9" spans="1:15" x14ac:dyDescent="0.35">
      <c r="A9">
        <v>19364</v>
      </c>
      <c r="B9" t="s">
        <v>37</v>
      </c>
      <c r="C9" t="s">
        <v>40</v>
      </c>
      <c r="D9" s="3">
        <v>40000</v>
      </c>
      <c r="E9">
        <v>1</v>
      </c>
      <c r="F9" t="s">
        <v>13</v>
      </c>
      <c r="G9" t="s">
        <v>14</v>
      </c>
      <c r="H9" t="s">
        <v>15</v>
      </c>
      <c r="I9">
        <v>0</v>
      </c>
      <c r="J9" t="s">
        <v>16</v>
      </c>
      <c r="K9" t="s">
        <v>17</v>
      </c>
      <c r="L9">
        <v>43</v>
      </c>
      <c r="M9" t="str">
        <f t="shared" si="0"/>
        <v>Middle Age</v>
      </c>
      <c r="N9" t="s">
        <v>15</v>
      </c>
    </row>
    <row r="10" spans="1:15" x14ac:dyDescent="0.35">
      <c r="A10">
        <v>22155</v>
      </c>
      <c r="B10" t="s">
        <v>37</v>
      </c>
      <c r="C10" t="s">
        <v>40</v>
      </c>
      <c r="D10" s="3">
        <v>20000</v>
      </c>
      <c r="E10">
        <v>2</v>
      </c>
      <c r="F10" t="s">
        <v>29</v>
      </c>
      <c r="G10" t="s">
        <v>20</v>
      </c>
      <c r="H10" t="s">
        <v>15</v>
      </c>
      <c r="I10">
        <v>2</v>
      </c>
      <c r="J10" t="s">
        <v>23</v>
      </c>
      <c r="K10" t="s">
        <v>24</v>
      </c>
      <c r="L10">
        <v>58</v>
      </c>
      <c r="M10" t="str">
        <f t="shared" si="0"/>
        <v>Old</v>
      </c>
      <c r="N10" t="s">
        <v>18</v>
      </c>
    </row>
    <row r="11" spans="1:15" x14ac:dyDescent="0.35">
      <c r="A11">
        <v>19280</v>
      </c>
      <c r="B11" t="s">
        <v>37</v>
      </c>
      <c r="C11" t="s">
        <v>40</v>
      </c>
      <c r="D11" s="3">
        <v>120000</v>
      </c>
      <c r="E11">
        <v>2</v>
      </c>
      <c r="F11" t="s">
        <v>19</v>
      </c>
      <c r="G11" t="s">
        <v>25</v>
      </c>
      <c r="H11" t="s">
        <v>15</v>
      </c>
      <c r="I11">
        <v>1</v>
      </c>
      <c r="J11" t="s">
        <v>16</v>
      </c>
      <c r="K11" t="s">
        <v>17</v>
      </c>
      <c r="L11">
        <v>40</v>
      </c>
      <c r="M11" t="str">
        <f t="shared" si="0"/>
        <v>Middle Age</v>
      </c>
      <c r="N11" t="s">
        <v>15</v>
      </c>
    </row>
    <row r="12" spans="1:15" x14ac:dyDescent="0.35">
      <c r="A12">
        <v>22173</v>
      </c>
      <c r="B12" t="s">
        <v>37</v>
      </c>
      <c r="C12" t="s">
        <v>39</v>
      </c>
      <c r="D12" s="3">
        <v>30000</v>
      </c>
      <c r="E12">
        <v>3</v>
      </c>
      <c r="F12" t="s">
        <v>27</v>
      </c>
      <c r="G12" t="s">
        <v>14</v>
      </c>
      <c r="H12" t="s">
        <v>18</v>
      </c>
      <c r="I12">
        <v>2</v>
      </c>
      <c r="J12" t="s">
        <v>26</v>
      </c>
      <c r="K12" t="s">
        <v>24</v>
      </c>
      <c r="L12">
        <v>54</v>
      </c>
      <c r="M12" t="str">
        <f t="shared" si="0"/>
        <v>Middle Age</v>
      </c>
      <c r="N12" t="s">
        <v>15</v>
      </c>
    </row>
    <row r="13" spans="1:15" x14ac:dyDescent="0.35">
      <c r="A13">
        <v>12697</v>
      </c>
      <c r="B13" t="s">
        <v>38</v>
      </c>
      <c r="C13" t="s">
        <v>39</v>
      </c>
      <c r="D13" s="3">
        <v>90000</v>
      </c>
      <c r="E13">
        <v>0</v>
      </c>
      <c r="F13" t="s">
        <v>13</v>
      </c>
      <c r="G13" t="s">
        <v>21</v>
      </c>
      <c r="H13" t="s">
        <v>18</v>
      </c>
      <c r="I13">
        <v>4</v>
      </c>
      <c r="J13" t="s">
        <v>47</v>
      </c>
      <c r="K13" t="s">
        <v>24</v>
      </c>
      <c r="L13">
        <v>36</v>
      </c>
      <c r="M13" t="str">
        <f t="shared" si="0"/>
        <v>Middle Age</v>
      </c>
      <c r="N13" t="s">
        <v>18</v>
      </c>
    </row>
    <row r="14" spans="1:15" x14ac:dyDescent="0.35">
      <c r="A14">
        <v>11434</v>
      </c>
      <c r="B14" t="s">
        <v>37</v>
      </c>
      <c r="C14" t="s">
        <v>40</v>
      </c>
      <c r="D14" s="3">
        <v>170000</v>
      </c>
      <c r="E14">
        <v>5</v>
      </c>
      <c r="F14" t="s">
        <v>19</v>
      </c>
      <c r="G14" t="s">
        <v>21</v>
      </c>
      <c r="H14" t="s">
        <v>15</v>
      </c>
      <c r="I14">
        <v>0</v>
      </c>
      <c r="J14" t="s">
        <v>16</v>
      </c>
      <c r="K14" t="s">
        <v>17</v>
      </c>
      <c r="L14">
        <v>55</v>
      </c>
      <c r="M14" t="str">
        <f t="shared" si="0"/>
        <v>Middle Age</v>
      </c>
      <c r="N14" t="s">
        <v>18</v>
      </c>
    </row>
    <row r="15" spans="1:15" x14ac:dyDescent="0.35">
      <c r="A15">
        <v>25323</v>
      </c>
      <c r="B15" t="s">
        <v>37</v>
      </c>
      <c r="C15" t="s">
        <v>40</v>
      </c>
      <c r="D15" s="3">
        <v>40000</v>
      </c>
      <c r="E15">
        <v>2</v>
      </c>
      <c r="F15" t="s">
        <v>19</v>
      </c>
      <c r="G15" t="s">
        <v>20</v>
      </c>
      <c r="H15" t="s">
        <v>15</v>
      </c>
      <c r="I15">
        <v>1</v>
      </c>
      <c r="J15" t="s">
        <v>26</v>
      </c>
      <c r="K15" t="s">
        <v>17</v>
      </c>
      <c r="L15">
        <v>35</v>
      </c>
      <c r="M15" t="str">
        <f t="shared" si="0"/>
        <v>Middle Age</v>
      </c>
      <c r="N15" t="s">
        <v>15</v>
      </c>
    </row>
    <row r="16" spans="1:15" x14ac:dyDescent="0.35">
      <c r="A16">
        <v>23542</v>
      </c>
      <c r="B16" t="s">
        <v>38</v>
      </c>
      <c r="C16" t="s">
        <v>40</v>
      </c>
      <c r="D16" s="3">
        <v>60000</v>
      </c>
      <c r="E16">
        <v>1</v>
      </c>
      <c r="F16" t="s">
        <v>19</v>
      </c>
      <c r="G16" t="s">
        <v>14</v>
      </c>
      <c r="H16" t="s">
        <v>18</v>
      </c>
      <c r="I16">
        <v>1</v>
      </c>
      <c r="J16" t="s">
        <v>16</v>
      </c>
      <c r="K16" t="s">
        <v>24</v>
      </c>
      <c r="L16">
        <v>45</v>
      </c>
      <c r="M16" t="str">
        <f t="shared" si="0"/>
        <v>Middle Age</v>
      </c>
      <c r="N16" t="s">
        <v>15</v>
      </c>
    </row>
    <row r="17" spans="1:14" x14ac:dyDescent="0.35">
      <c r="A17">
        <v>20870</v>
      </c>
      <c r="B17" t="s">
        <v>38</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38</v>
      </c>
      <c r="C18" t="s">
        <v>40</v>
      </c>
      <c r="D18" s="3">
        <v>30000</v>
      </c>
      <c r="E18">
        <v>3</v>
      </c>
      <c r="F18" t="s">
        <v>19</v>
      </c>
      <c r="G18" t="s">
        <v>20</v>
      </c>
      <c r="H18" t="s">
        <v>18</v>
      </c>
      <c r="I18">
        <v>2</v>
      </c>
      <c r="J18" t="s">
        <v>26</v>
      </c>
      <c r="K18" t="s">
        <v>24</v>
      </c>
      <c r="L18">
        <v>59</v>
      </c>
      <c r="M18" t="str">
        <f t="shared" si="0"/>
        <v>Old</v>
      </c>
      <c r="N18" t="s">
        <v>15</v>
      </c>
    </row>
    <row r="19" spans="1:14" x14ac:dyDescent="0.35">
      <c r="A19">
        <v>12610</v>
      </c>
      <c r="B19" t="s">
        <v>37</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38</v>
      </c>
      <c r="C20" t="s">
        <v>40</v>
      </c>
      <c r="D20" s="3">
        <v>40000</v>
      </c>
      <c r="E20">
        <v>2</v>
      </c>
      <c r="F20" t="s">
        <v>19</v>
      </c>
      <c r="G20" t="s">
        <v>20</v>
      </c>
      <c r="H20" t="s">
        <v>15</v>
      </c>
      <c r="I20">
        <v>1</v>
      </c>
      <c r="J20" t="s">
        <v>26</v>
      </c>
      <c r="K20" t="s">
        <v>17</v>
      </c>
      <c r="L20">
        <v>35</v>
      </c>
      <c r="M20" t="str">
        <f t="shared" si="0"/>
        <v>Middle Age</v>
      </c>
      <c r="N20" t="s">
        <v>15</v>
      </c>
    </row>
    <row r="21" spans="1:14" x14ac:dyDescent="0.35">
      <c r="A21">
        <v>25940</v>
      </c>
      <c r="B21" t="s">
        <v>38</v>
      </c>
      <c r="C21" t="s">
        <v>40</v>
      </c>
      <c r="D21" s="3">
        <v>20000</v>
      </c>
      <c r="E21">
        <v>2</v>
      </c>
      <c r="F21" t="s">
        <v>29</v>
      </c>
      <c r="G21" t="s">
        <v>20</v>
      </c>
      <c r="H21" t="s">
        <v>15</v>
      </c>
      <c r="I21">
        <v>2</v>
      </c>
      <c r="J21" t="s">
        <v>23</v>
      </c>
      <c r="K21" t="s">
        <v>24</v>
      </c>
      <c r="L21">
        <v>55</v>
      </c>
      <c r="M21" t="str">
        <f t="shared" si="0"/>
        <v>Middle Age</v>
      </c>
      <c r="N21" t="s">
        <v>15</v>
      </c>
    </row>
    <row r="22" spans="1:14" x14ac:dyDescent="0.35">
      <c r="A22">
        <v>25598</v>
      </c>
      <c r="B22" t="s">
        <v>37</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38</v>
      </c>
      <c r="C23" t="s">
        <v>39</v>
      </c>
      <c r="D23" s="3">
        <v>80000</v>
      </c>
      <c r="E23">
        <v>0</v>
      </c>
      <c r="F23" t="s">
        <v>13</v>
      </c>
      <c r="G23" t="s">
        <v>21</v>
      </c>
      <c r="H23" t="s">
        <v>15</v>
      </c>
      <c r="I23">
        <v>4</v>
      </c>
      <c r="J23" t="s">
        <v>47</v>
      </c>
      <c r="K23" t="s">
        <v>24</v>
      </c>
      <c r="L23">
        <v>35</v>
      </c>
      <c r="M23" t="str">
        <f t="shared" si="0"/>
        <v>Middle Age</v>
      </c>
      <c r="N23" t="s">
        <v>18</v>
      </c>
    </row>
    <row r="24" spans="1:14" x14ac:dyDescent="0.35">
      <c r="A24">
        <v>19193</v>
      </c>
      <c r="B24" t="s">
        <v>38</v>
      </c>
      <c r="C24" t="s">
        <v>40</v>
      </c>
      <c r="D24" s="3">
        <v>40000</v>
      </c>
      <c r="E24">
        <v>2</v>
      </c>
      <c r="F24" t="s">
        <v>19</v>
      </c>
      <c r="G24" t="s">
        <v>20</v>
      </c>
      <c r="H24" t="s">
        <v>15</v>
      </c>
      <c r="I24">
        <v>0</v>
      </c>
      <c r="J24" t="s">
        <v>26</v>
      </c>
      <c r="K24" t="s">
        <v>17</v>
      </c>
      <c r="L24">
        <v>35</v>
      </c>
      <c r="M24" t="str">
        <f t="shared" si="0"/>
        <v>Middle Age</v>
      </c>
      <c r="N24" t="s">
        <v>15</v>
      </c>
    </row>
    <row r="25" spans="1:14" x14ac:dyDescent="0.35">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38</v>
      </c>
      <c r="C26" t="s">
        <v>40</v>
      </c>
      <c r="D26" s="3">
        <v>40000</v>
      </c>
      <c r="E26">
        <v>2</v>
      </c>
      <c r="F26" t="s">
        <v>19</v>
      </c>
      <c r="G26" t="s">
        <v>20</v>
      </c>
      <c r="H26" t="s">
        <v>18</v>
      </c>
      <c r="I26">
        <v>1</v>
      </c>
      <c r="J26" t="s">
        <v>16</v>
      </c>
      <c r="K26" t="s">
        <v>17</v>
      </c>
      <c r="L26">
        <v>34</v>
      </c>
      <c r="M26" t="str">
        <f t="shared" si="0"/>
        <v>Middle Age</v>
      </c>
      <c r="N26" t="s">
        <v>18</v>
      </c>
    </row>
    <row r="27" spans="1:14" x14ac:dyDescent="0.35">
      <c r="A27">
        <v>12590</v>
      </c>
      <c r="B27" t="s">
        <v>38</v>
      </c>
      <c r="C27" t="s">
        <v>40</v>
      </c>
      <c r="D27" s="3">
        <v>30000</v>
      </c>
      <c r="E27">
        <v>1</v>
      </c>
      <c r="F27" t="s">
        <v>13</v>
      </c>
      <c r="G27" t="s">
        <v>20</v>
      </c>
      <c r="H27" t="s">
        <v>15</v>
      </c>
      <c r="I27">
        <v>0</v>
      </c>
      <c r="J27" t="s">
        <v>16</v>
      </c>
      <c r="K27" t="s">
        <v>17</v>
      </c>
      <c r="L27">
        <v>63</v>
      </c>
      <c r="M27" t="str">
        <f t="shared" si="0"/>
        <v>Old</v>
      </c>
      <c r="N27" t="s">
        <v>18</v>
      </c>
    </row>
    <row r="28" spans="1:14" x14ac:dyDescent="0.35">
      <c r="A28">
        <v>17841</v>
      </c>
      <c r="B28" t="s">
        <v>38</v>
      </c>
      <c r="C28" t="s">
        <v>40</v>
      </c>
      <c r="D28" s="3">
        <v>30000</v>
      </c>
      <c r="E28">
        <v>0</v>
      </c>
      <c r="F28" t="s">
        <v>19</v>
      </c>
      <c r="G28" t="s">
        <v>20</v>
      </c>
      <c r="H28" t="s">
        <v>18</v>
      </c>
      <c r="I28">
        <v>1</v>
      </c>
      <c r="J28" t="s">
        <v>16</v>
      </c>
      <c r="K28" t="s">
        <v>17</v>
      </c>
      <c r="L28">
        <v>29</v>
      </c>
      <c r="M28" t="str">
        <f t="shared" si="0"/>
        <v>Adolescent</v>
      </c>
      <c r="N28" t="s">
        <v>15</v>
      </c>
    </row>
    <row r="29" spans="1:14" x14ac:dyDescent="0.35">
      <c r="A29">
        <v>18283</v>
      </c>
      <c r="B29" t="s">
        <v>38</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37</v>
      </c>
      <c r="C30" t="s">
        <v>40</v>
      </c>
      <c r="D30" s="3">
        <v>70000</v>
      </c>
      <c r="E30">
        <v>5</v>
      </c>
      <c r="F30" t="s">
        <v>19</v>
      </c>
      <c r="G30" t="s">
        <v>14</v>
      </c>
      <c r="H30" t="s">
        <v>15</v>
      </c>
      <c r="I30">
        <v>2</v>
      </c>
      <c r="J30" t="s">
        <v>23</v>
      </c>
      <c r="K30" t="s">
        <v>24</v>
      </c>
      <c r="L30">
        <v>44</v>
      </c>
      <c r="M30" t="str">
        <f t="shared" si="0"/>
        <v>Middle Age</v>
      </c>
      <c r="N30" t="s">
        <v>18</v>
      </c>
    </row>
    <row r="31" spans="1:14" x14ac:dyDescent="0.35">
      <c r="A31">
        <v>16466</v>
      </c>
      <c r="B31" t="s">
        <v>38</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37</v>
      </c>
      <c r="C33" t="s">
        <v>40</v>
      </c>
      <c r="D33" s="3">
        <v>10000</v>
      </c>
      <c r="E33">
        <v>0</v>
      </c>
      <c r="F33" t="s">
        <v>19</v>
      </c>
      <c r="G33" t="s">
        <v>25</v>
      </c>
      <c r="H33" t="s">
        <v>18</v>
      </c>
      <c r="I33">
        <v>1</v>
      </c>
      <c r="J33" t="s">
        <v>16</v>
      </c>
      <c r="K33" t="s">
        <v>24</v>
      </c>
      <c r="L33">
        <v>26</v>
      </c>
      <c r="M33" t="str">
        <f t="shared" si="0"/>
        <v>Adolescent</v>
      </c>
      <c r="N33" t="s">
        <v>15</v>
      </c>
    </row>
    <row r="34" spans="1:14" x14ac:dyDescent="0.35">
      <c r="A34">
        <v>20942</v>
      </c>
      <c r="B34" t="s">
        <v>38</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38</v>
      </c>
      <c r="C35" t="s">
        <v>40</v>
      </c>
      <c r="D35" s="3">
        <v>80000</v>
      </c>
      <c r="E35">
        <v>2</v>
      </c>
      <c r="F35" t="s">
        <v>27</v>
      </c>
      <c r="G35" t="s">
        <v>14</v>
      </c>
      <c r="H35" t="s">
        <v>18</v>
      </c>
      <c r="I35">
        <v>2</v>
      </c>
      <c r="J35" t="s">
        <v>26</v>
      </c>
      <c r="K35" t="s">
        <v>24</v>
      </c>
      <c r="L35">
        <v>50</v>
      </c>
      <c r="M35" t="str">
        <f t="shared" si="0"/>
        <v>Middle Age</v>
      </c>
      <c r="N35" t="s">
        <v>15</v>
      </c>
    </row>
    <row r="36" spans="1:14" x14ac:dyDescent="0.35">
      <c r="A36">
        <v>12291</v>
      </c>
      <c r="B36" t="s">
        <v>38</v>
      </c>
      <c r="C36" t="s">
        <v>40</v>
      </c>
      <c r="D36" s="3">
        <v>90000</v>
      </c>
      <c r="E36">
        <v>5</v>
      </c>
      <c r="F36" t="s">
        <v>19</v>
      </c>
      <c r="G36" t="s">
        <v>21</v>
      </c>
      <c r="H36" t="s">
        <v>18</v>
      </c>
      <c r="I36">
        <v>2</v>
      </c>
      <c r="J36" t="s">
        <v>22</v>
      </c>
      <c r="K36" t="s">
        <v>17</v>
      </c>
      <c r="L36">
        <v>62</v>
      </c>
      <c r="M36" t="str">
        <f t="shared" si="0"/>
        <v>Old</v>
      </c>
      <c r="N36" t="s">
        <v>15</v>
      </c>
    </row>
    <row r="37" spans="1:14" x14ac:dyDescent="0.35">
      <c r="A37">
        <v>28380</v>
      </c>
      <c r="B37" t="s">
        <v>38</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37</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38</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38</v>
      </c>
      <c r="C40" t="s">
        <v>40</v>
      </c>
      <c r="D40" s="3">
        <v>20000</v>
      </c>
      <c r="E40">
        <v>0</v>
      </c>
      <c r="F40" t="s">
        <v>27</v>
      </c>
      <c r="G40" t="s">
        <v>25</v>
      </c>
      <c r="H40" t="s">
        <v>18</v>
      </c>
      <c r="I40">
        <v>1</v>
      </c>
      <c r="J40" t="s">
        <v>22</v>
      </c>
      <c r="K40" t="s">
        <v>17</v>
      </c>
      <c r="L40">
        <v>28</v>
      </c>
      <c r="M40" t="str">
        <f t="shared" si="0"/>
        <v>Adolescent</v>
      </c>
      <c r="N40" t="s">
        <v>18</v>
      </c>
    </row>
    <row r="41" spans="1:14" x14ac:dyDescent="0.35">
      <c r="A41">
        <v>16259</v>
      </c>
      <c r="B41" t="s">
        <v>38</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38</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37</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37</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37</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37</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38</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37</v>
      </c>
      <c r="C50" t="s">
        <v>40</v>
      </c>
      <c r="D50" s="3">
        <v>30000</v>
      </c>
      <c r="E50">
        <v>2</v>
      </c>
      <c r="F50" t="s">
        <v>19</v>
      </c>
      <c r="G50" t="s">
        <v>20</v>
      </c>
      <c r="H50" t="s">
        <v>18</v>
      </c>
      <c r="I50">
        <v>2</v>
      </c>
      <c r="J50" t="s">
        <v>16</v>
      </c>
      <c r="K50" t="s">
        <v>17</v>
      </c>
      <c r="L50">
        <v>42</v>
      </c>
      <c r="M50" t="str">
        <f t="shared" si="0"/>
        <v>Middle Age</v>
      </c>
      <c r="N50" t="s">
        <v>18</v>
      </c>
    </row>
    <row r="51" spans="1:14" x14ac:dyDescent="0.35">
      <c r="A51">
        <v>14939</v>
      </c>
      <c r="B51" t="s">
        <v>38</v>
      </c>
      <c r="C51" t="s">
        <v>40</v>
      </c>
      <c r="D51" s="3">
        <v>40000</v>
      </c>
      <c r="E51">
        <v>0</v>
      </c>
      <c r="F51" t="s">
        <v>13</v>
      </c>
      <c r="G51" t="s">
        <v>20</v>
      </c>
      <c r="H51" t="s">
        <v>15</v>
      </c>
      <c r="I51">
        <v>0</v>
      </c>
      <c r="J51" t="s">
        <v>16</v>
      </c>
      <c r="K51" t="s">
        <v>17</v>
      </c>
      <c r="L51">
        <v>39</v>
      </c>
      <c r="M51" t="str">
        <f t="shared" si="0"/>
        <v>Middle Age</v>
      </c>
      <c r="N51" t="s">
        <v>15</v>
      </c>
    </row>
    <row r="52" spans="1:14" x14ac:dyDescent="0.35">
      <c r="A52">
        <v>13826</v>
      </c>
      <c r="B52" t="s">
        <v>38</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38</v>
      </c>
      <c r="C53" t="s">
        <v>40</v>
      </c>
      <c r="D53" s="3">
        <v>80000</v>
      </c>
      <c r="E53">
        <v>0</v>
      </c>
      <c r="F53" t="s">
        <v>13</v>
      </c>
      <c r="G53" t="s">
        <v>21</v>
      </c>
      <c r="H53" t="s">
        <v>18</v>
      </c>
      <c r="I53">
        <v>4</v>
      </c>
      <c r="J53" t="s">
        <v>47</v>
      </c>
      <c r="K53" t="s">
        <v>24</v>
      </c>
      <c r="L53">
        <v>35</v>
      </c>
      <c r="M53" t="str">
        <f t="shared" si="0"/>
        <v>Middle Age</v>
      </c>
      <c r="N53" t="s">
        <v>18</v>
      </c>
    </row>
    <row r="54" spans="1:14" x14ac:dyDescent="0.35">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38</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37</v>
      </c>
      <c r="C57" t="s">
        <v>40</v>
      </c>
      <c r="D57" s="3">
        <v>80000</v>
      </c>
      <c r="E57">
        <v>4</v>
      </c>
      <c r="F57" t="s">
        <v>27</v>
      </c>
      <c r="G57" t="s">
        <v>21</v>
      </c>
      <c r="H57" t="s">
        <v>15</v>
      </c>
      <c r="I57">
        <v>2</v>
      </c>
      <c r="J57" t="s">
        <v>47</v>
      </c>
      <c r="K57" t="s">
        <v>17</v>
      </c>
      <c r="L57">
        <v>54</v>
      </c>
      <c r="M57" t="str">
        <f t="shared" si="0"/>
        <v>Middle Age</v>
      </c>
      <c r="N57" t="s">
        <v>18</v>
      </c>
    </row>
    <row r="58" spans="1:14" x14ac:dyDescent="0.35">
      <c r="A58">
        <v>12808</v>
      </c>
      <c r="B58" t="s">
        <v>37</v>
      </c>
      <c r="C58" t="s">
        <v>40</v>
      </c>
      <c r="D58" s="3">
        <v>40000</v>
      </c>
      <c r="E58">
        <v>0</v>
      </c>
      <c r="F58" t="s">
        <v>13</v>
      </c>
      <c r="G58" t="s">
        <v>20</v>
      </c>
      <c r="H58" t="s">
        <v>15</v>
      </c>
      <c r="I58">
        <v>0</v>
      </c>
      <c r="J58" t="s">
        <v>16</v>
      </c>
      <c r="K58" t="s">
        <v>17</v>
      </c>
      <c r="L58">
        <v>38</v>
      </c>
      <c r="M58" t="str">
        <f t="shared" si="0"/>
        <v>Middle Age</v>
      </c>
      <c r="N58" t="s">
        <v>15</v>
      </c>
    </row>
    <row r="59" spans="1:14" x14ac:dyDescent="0.35">
      <c r="A59">
        <v>20567</v>
      </c>
      <c r="B59" t="s">
        <v>37</v>
      </c>
      <c r="C59" t="s">
        <v>40</v>
      </c>
      <c r="D59" s="3">
        <v>130000</v>
      </c>
      <c r="E59">
        <v>4</v>
      </c>
      <c r="F59" t="s">
        <v>19</v>
      </c>
      <c r="G59" t="s">
        <v>21</v>
      </c>
      <c r="H59" t="s">
        <v>18</v>
      </c>
      <c r="I59">
        <v>4</v>
      </c>
      <c r="J59" t="s">
        <v>23</v>
      </c>
      <c r="K59" t="s">
        <v>17</v>
      </c>
      <c r="L59">
        <v>61</v>
      </c>
      <c r="M59" t="str">
        <f t="shared" si="0"/>
        <v>Old</v>
      </c>
      <c r="N59" t="s">
        <v>15</v>
      </c>
    </row>
    <row r="60" spans="1:14" x14ac:dyDescent="0.35">
      <c r="A60">
        <v>25502</v>
      </c>
      <c r="B60" t="s">
        <v>37</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37</v>
      </c>
      <c r="C61" t="s">
        <v>40</v>
      </c>
      <c r="D61" s="3">
        <v>60000</v>
      </c>
      <c r="E61">
        <v>2</v>
      </c>
      <c r="F61" t="s">
        <v>13</v>
      </c>
      <c r="G61" t="s">
        <v>21</v>
      </c>
      <c r="H61" t="s">
        <v>15</v>
      </c>
      <c r="I61">
        <v>1</v>
      </c>
      <c r="J61" t="s">
        <v>22</v>
      </c>
      <c r="K61" t="s">
        <v>24</v>
      </c>
      <c r="L61">
        <v>38</v>
      </c>
      <c r="M61" t="str">
        <f t="shared" si="0"/>
        <v>Middle Age</v>
      </c>
      <c r="N61" t="s">
        <v>15</v>
      </c>
    </row>
    <row r="62" spans="1:14" x14ac:dyDescent="0.35">
      <c r="A62">
        <v>24185</v>
      </c>
      <c r="B62" t="s">
        <v>38</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38</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37</v>
      </c>
      <c r="C64" t="s">
        <v>40</v>
      </c>
      <c r="D64" s="3">
        <v>40000</v>
      </c>
      <c r="E64">
        <v>2</v>
      </c>
      <c r="F64" t="s">
        <v>13</v>
      </c>
      <c r="G64" t="s">
        <v>28</v>
      </c>
      <c r="H64" t="s">
        <v>15</v>
      </c>
      <c r="I64">
        <v>1</v>
      </c>
      <c r="J64" t="s">
        <v>16</v>
      </c>
      <c r="K64" t="s">
        <v>24</v>
      </c>
      <c r="L64">
        <v>52</v>
      </c>
      <c r="M64" t="str">
        <f t="shared" si="0"/>
        <v>Middle Age</v>
      </c>
      <c r="N64" t="s">
        <v>15</v>
      </c>
    </row>
    <row r="65" spans="1:14" x14ac:dyDescent="0.35">
      <c r="A65">
        <v>16185</v>
      </c>
      <c r="B65" t="s">
        <v>38</v>
      </c>
      <c r="C65" t="s">
        <v>40</v>
      </c>
      <c r="D65" s="3">
        <v>60000</v>
      </c>
      <c r="E65">
        <v>4</v>
      </c>
      <c r="F65" t="s">
        <v>13</v>
      </c>
      <c r="G65" t="s">
        <v>21</v>
      </c>
      <c r="H65" t="s">
        <v>15</v>
      </c>
      <c r="I65">
        <v>3</v>
      </c>
      <c r="J65" t="s">
        <v>47</v>
      </c>
      <c r="K65" t="s">
        <v>24</v>
      </c>
      <c r="L65">
        <v>41</v>
      </c>
      <c r="M65" t="str">
        <f t="shared" si="0"/>
        <v>Middle Age</v>
      </c>
      <c r="N65" t="s">
        <v>18</v>
      </c>
    </row>
    <row r="66" spans="1:14" x14ac:dyDescent="0.35">
      <c r="A66">
        <v>14927</v>
      </c>
      <c r="B66" t="s">
        <v>37</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38</v>
      </c>
      <c r="C67" t="s">
        <v>40</v>
      </c>
      <c r="D67" s="3">
        <v>30000</v>
      </c>
      <c r="E67">
        <v>2</v>
      </c>
      <c r="F67" t="s">
        <v>19</v>
      </c>
      <c r="G67" t="s">
        <v>20</v>
      </c>
      <c r="H67" t="s">
        <v>15</v>
      </c>
      <c r="I67">
        <v>2</v>
      </c>
      <c r="J67" t="s">
        <v>23</v>
      </c>
      <c r="K67" t="s">
        <v>24</v>
      </c>
      <c r="L67">
        <v>68</v>
      </c>
      <c r="M67" t="str">
        <f t="shared" ref="M67:M130" si="1">IF(L67&gt;55,"Old",IF(L67&gt;=31, "Middle Age",IF(L67&lt;31, "Adolescent","Invalid")))</f>
        <v>Old</v>
      </c>
      <c r="N67" t="s">
        <v>18</v>
      </c>
    </row>
    <row r="68" spans="1:14" x14ac:dyDescent="0.35">
      <c r="A68">
        <v>29355</v>
      </c>
      <c r="B68" t="s">
        <v>37</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38</v>
      </c>
      <c r="C69" t="s">
        <v>40</v>
      </c>
      <c r="D69" s="3">
        <v>30000</v>
      </c>
      <c r="E69">
        <v>0</v>
      </c>
      <c r="F69" t="s">
        <v>27</v>
      </c>
      <c r="G69" t="s">
        <v>25</v>
      </c>
      <c r="H69" t="s">
        <v>15</v>
      </c>
      <c r="I69">
        <v>1</v>
      </c>
      <c r="J69" t="s">
        <v>22</v>
      </c>
      <c r="K69" t="s">
        <v>17</v>
      </c>
      <c r="L69">
        <v>33</v>
      </c>
      <c r="M69" t="str">
        <f t="shared" si="1"/>
        <v>Middle Age</v>
      </c>
      <c r="N69" t="s">
        <v>15</v>
      </c>
    </row>
    <row r="70" spans="1:14" x14ac:dyDescent="0.35">
      <c r="A70">
        <v>14813</v>
      </c>
      <c r="B70" t="s">
        <v>38</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37</v>
      </c>
      <c r="C72" t="s">
        <v>40</v>
      </c>
      <c r="D72" s="3">
        <v>120000</v>
      </c>
      <c r="E72">
        <v>0</v>
      </c>
      <c r="F72" t="s">
        <v>29</v>
      </c>
      <c r="G72" t="s">
        <v>21</v>
      </c>
      <c r="H72" t="s">
        <v>15</v>
      </c>
      <c r="I72">
        <v>4</v>
      </c>
      <c r="J72" t="s">
        <v>47</v>
      </c>
      <c r="K72" t="s">
        <v>24</v>
      </c>
      <c r="L72">
        <v>36</v>
      </c>
      <c r="M72" t="str">
        <f t="shared" si="1"/>
        <v>Middle Age</v>
      </c>
      <c r="N72" t="s">
        <v>15</v>
      </c>
    </row>
    <row r="73" spans="1:14" x14ac:dyDescent="0.35">
      <c r="A73">
        <v>16200</v>
      </c>
      <c r="B73" t="s">
        <v>38</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37</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38</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38</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38</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37</v>
      </c>
      <c r="C79" t="s">
        <v>40</v>
      </c>
      <c r="D79" s="3">
        <v>80000</v>
      </c>
      <c r="E79">
        <v>0</v>
      </c>
      <c r="F79" t="s">
        <v>13</v>
      </c>
      <c r="G79" t="s">
        <v>21</v>
      </c>
      <c r="H79" t="s">
        <v>15</v>
      </c>
      <c r="I79">
        <v>2</v>
      </c>
      <c r="J79" t="s">
        <v>47</v>
      </c>
      <c r="K79" t="s">
        <v>24</v>
      </c>
      <c r="L79">
        <v>29</v>
      </c>
      <c r="M79" t="str">
        <f t="shared" si="1"/>
        <v>Adolescent</v>
      </c>
      <c r="N79" t="s">
        <v>15</v>
      </c>
    </row>
    <row r="80" spans="1:14" x14ac:dyDescent="0.35">
      <c r="A80">
        <v>15752</v>
      </c>
      <c r="B80" t="s">
        <v>37</v>
      </c>
      <c r="C80" t="s">
        <v>40</v>
      </c>
      <c r="D80" s="3">
        <v>80000</v>
      </c>
      <c r="E80">
        <v>2</v>
      </c>
      <c r="F80" t="s">
        <v>27</v>
      </c>
      <c r="G80" t="s">
        <v>14</v>
      </c>
      <c r="H80" t="s">
        <v>18</v>
      </c>
      <c r="I80">
        <v>2</v>
      </c>
      <c r="J80" t="s">
        <v>26</v>
      </c>
      <c r="K80" t="s">
        <v>24</v>
      </c>
      <c r="L80">
        <v>50</v>
      </c>
      <c r="M80" t="str">
        <f t="shared" si="1"/>
        <v>Middle Age</v>
      </c>
      <c r="N80" t="s">
        <v>15</v>
      </c>
    </row>
    <row r="81" spans="1:14" x14ac:dyDescent="0.35">
      <c r="A81">
        <v>27745</v>
      </c>
      <c r="B81" t="s">
        <v>38</v>
      </c>
      <c r="C81" t="s">
        <v>40</v>
      </c>
      <c r="D81" s="3">
        <v>40000</v>
      </c>
      <c r="E81">
        <v>2</v>
      </c>
      <c r="F81" t="s">
        <v>13</v>
      </c>
      <c r="G81" t="s">
        <v>28</v>
      </c>
      <c r="H81" t="s">
        <v>15</v>
      </c>
      <c r="I81">
        <v>2</v>
      </c>
      <c r="J81" t="s">
        <v>23</v>
      </c>
      <c r="K81" t="s">
        <v>24</v>
      </c>
      <c r="L81">
        <v>63</v>
      </c>
      <c r="M81" t="str">
        <f t="shared" si="1"/>
        <v>Old</v>
      </c>
      <c r="N81" t="s">
        <v>15</v>
      </c>
    </row>
    <row r="82" spans="1:14" x14ac:dyDescent="0.35">
      <c r="A82">
        <v>20828</v>
      </c>
      <c r="B82" t="s">
        <v>37</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38</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37</v>
      </c>
      <c r="C84" t="s">
        <v>40</v>
      </c>
      <c r="D84" s="3">
        <v>30000</v>
      </c>
      <c r="E84">
        <v>0</v>
      </c>
      <c r="F84" t="s">
        <v>13</v>
      </c>
      <c r="G84" t="s">
        <v>20</v>
      </c>
      <c r="H84" t="s">
        <v>15</v>
      </c>
      <c r="I84">
        <v>0</v>
      </c>
      <c r="J84" t="s">
        <v>16</v>
      </c>
      <c r="K84" t="s">
        <v>17</v>
      </c>
      <c r="L84">
        <v>47</v>
      </c>
      <c r="M84" t="str">
        <f t="shared" si="1"/>
        <v>Middle Age</v>
      </c>
      <c r="N84" t="s">
        <v>15</v>
      </c>
    </row>
    <row r="85" spans="1:14" x14ac:dyDescent="0.35">
      <c r="A85">
        <v>28412</v>
      </c>
      <c r="B85" t="s">
        <v>38</v>
      </c>
      <c r="C85" t="s">
        <v>40</v>
      </c>
      <c r="D85" s="3">
        <v>20000</v>
      </c>
      <c r="E85">
        <v>0</v>
      </c>
      <c r="F85" t="s">
        <v>27</v>
      </c>
      <c r="G85" t="s">
        <v>25</v>
      </c>
      <c r="H85" t="s">
        <v>18</v>
      </c>
      <c r="I85">
        <v>1</v>
      </c>
      <c r="J85" t="s">
        <v>22</v>
      </c>
      <c r="K85" t="s">
        <v>17</v>
      </c>
      <c r="L85">
        <v>29</v>
      </c>
      <c r="M85" t="str">
        <f t="shared" si="1"/>
        <v>Adolescent</v>
      </c>
      <c r="N85" t="s">
        <v>18</v>
      </c>
    </row>
    <row r="86" spans="1:14" x14ac:dyDescent="0.35">
      <c r="A86">
        <v>24485</v>
      </c>
      <c r="B86" t="s">
        <v>38</v>
      </c>
      <c r="C86" t="s">
        <v>40</v>
      </c>
      <c r="D86" s="3">
        <v>40000</v>
      </c>
      <c r="E86">
        <v>2</v>
      </c>
      <c r="F86" t="s">
        <v>13</v>
      </c>
      <c r="G86" t="s">
        <v>28</v>
      </c>
      <c r="H86" t="s">
        <v>18</v>
      </c>
      <c r="I86">
        <v>1</v>
      </c>
      <c r="J86" t="s">
        <v>23</v>
      </c>
      <c r="K86" t="s">
        <v>24</v>
      </c>
      <c r="L86">
        <v>52</v>
      </c>
      <c r="M86" t="str">
        <f t="shared" si="1"/>
        <v>Middle Age</v>
      </c>
      <c r="N86" t="s">
        <v>15</v>
      </c>
    </row>
    <row r="87" spans="1:14" x14ac:dyDescent="0.35">
      <c r="A87">
        <v>16514</v>
      </c>
      <c r="B87" t="s">
        <v>38</v>
      </c>
      <c r="C87" t="s">
        <v>40</v>
      </c>
      <c r="D87" s="3">
        <v>10000</v>
      </c>
      <c r="E87">
        <v>0</v>
      </c>
      <c r="F87" t="s">
        <v>19</v>
      </c>
      <c r="G87" t="s">
        <v>25</v>
      </c>
      <c r="H87" t="s">
        <v>15</v>
      </c>
      <c r="I87">
        <v>1</v>
      </c>
      <c r="J87" t="s">
        <v>26</v>
      </c>
      <c r="K87" t="s">
        <v>24</v>
      </c>
      <c r="L87">
        <v>26</v>
      </c>
      <c r="M87" t="str">
        <f t="shared" si="1"/>
        <v>Adolescent</v>
      </c>
      <c r="N87" t="s">
        <v>15</v>
      </c>
    </row>
    <row r="88" spans="1:14" x14ac:dyDescent="0.35">
      <c r="A88">
        <v>17191</v>
      </c>
      <c r="B88" t="s">
        <v>38</v>
      </c>
      <c r="C88" t="s">
        <v>40</v>
      </c>
      <c r="D88" s="3">
        <v>130000</v>
      </c>
      <c r="E88">
        <v>3</v>
      </c>
      <c r="F88" t="s">
        <v>19</v>
      </c>
      <c r="G88" t="s">
        <v>21</v>
      </c>
      <c r="H88" t="s">
        <v>18</v>
      </c>
      <c r="I88">
        <v>3</v>
      </c>
      <c r="J88" t="s">
        <v>16</v>
      </c>
      <c r="K88" t="s">
        <v>17</v>
      </c>
      <c r="L88">
        <v>51</v>
      </c>
      <c r="M88" t="str">
        <f t="shared" si="1"/>
        <v>Middle Age</v>
      </c>
      <c r="N88" t="s">
        <v>15</v>
      </c>
    </row>
    <row r="89" spans="1:14" x14ac:dyDescent="0.35">
      <c r="A89">
        <v>19608</v>
      </c>
      <c r="B89" t="s">
        <v>37</v>
      </c>
      <c r="C89" t="s">
        <v>40</v>
      </c>
      <c r="D89" s="3">
        <v>80000</v>
      </c>
      <c r="E89">
        <v>5</v>
      </c>
      <c r="F89" t="s">
        <v>13</v>
      </c>
      <c r="G89" t="s">
        <v>21</v>
      </c>
      <c r="H89" t="s">
        <v>15</v>
      </c>
      <c r="I89">
        <v>4</v>
      </c>
      <c r="J89" t="s">
        <v>26</v>
      </c>
      <c r="K89" t="s">
        <v>24</v>
      </c>
      <c r="L89">
        <v>40</v>
      </c>
      <c r="M89" t="str">
        <f t="shared" si="1"/>
        <v>Middle Age</v>
      </c>
      <c r="N89" t="s">
        <v>18</v>
      </c>
    </row>
    <row r="90" spans="1:14" x14ac:dyDescent="0.35">
      <c r="A90">
        <v>24119</v>
      </c>
      <c r="B90" t="s">
        <v>38</v>
      </c>
      <c r="C90" t="s">
        <v>40</v>
      </c>
      <c r="D90" s="3">
        <v>30000</v>
      </c>
      <c r="E90">
        <v>0</v>
      </c>
      <c r="F90" t="s">
        <v>19</v>
      </c>
      <c r="G90" t="s">
        <v>20</v>
      </c>
      <c r="H90" t="s">
        <v>18</v>
      </c>
      <c r="I90">
        <v>1</v>
      </c>
      <c r="J90" t="s">
        <v>22</v>
      </c>
      <c r="K90" t="s">
        <v>17</v>
      </c>
      <c r="L90">
        <v>29</v>
      </c>
      <c r="M90" t="str">
        <f t="shared" si="1"/>
        <v>Adolescent</v>
      </c>
      <c r="N90" t="s">
        <v>18</v>
      </c>
    </row>
    <row r="91" spans="1:14" x14ac:dyDescent="0.35">
      <c r="A91">
        <v>25458</v>
      </c>
      <c r="B91" t="s">
        <v>37</v>
      </c>
      <c r="C91" t="s">
        <v>40</v>
      </c>
      <c r="D91" s="3">
        <v>20000</v>
      </c>
      <c r="E91">
        <v>1</v>
      </c>
      <c r="F91" t="s">
        <v>27</v>
      </c>
      <c r="G91" t="s">
        <v>25</v>
      </c>
      <c r="H91" t="s">
        <v>18</v>
      </c>
      <c r="I91">
        <v>1</v>
      </c>
      <c r="J91" t="s">
        <v>26</v>
      </c>
      <c r="K91" t="s">
        <v>17</v>
      </c>
      <c r="L91">
        <v>40</v>
      </c>
      <c r="M91" t="str">
        <f t="shared" si="1"/>
        <v>Middle Age</v>
      </c>
      <c r="N91" t="s">
        <v>15</v>
      </c>
    </row>
    <row r="92" spans="1:14" x14ac:dyDescent="0.35">
      <c r="A92">
        <v>26886</v>
      </c>
      <c r="B92" t="s">
        <v>38</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38</v>
      </c>
      <c r="C93" t="s">
        <v>40</v>
      </c>
      <c r="D93" s="3">
        <v>30000</v>
      </c>
      <c r="E93">
        <v>0</v>
      </c>
      <c r="F93" t="s">
        <v>19</v>
      </c>
      <c r="G93" t="s">
        <v>20</v>
      </c>
      <c r="H93" t="s">
        <v>18</v>
      </c>
      <c r="I93">
        <v>1</v>
      </c>
      <c r="J93" t="s">
        <v>16</v>
      </c>
      <c r="K93" t="s">
        <v>17</v>
      </c>
      <c r="L93">
        <v>30</v>
      </c>
      <c r="M93" t="str">
        <f t="shared" si="1"/>
        <v>Adolescent</v>
      </c>
      <c r="N93" t="s">
        <v>15</v>
      </c>
    </row>
    <row r="94" spans="1:14" x14ac:dyDescent="0.35">
      <c r="A94">
        <v>19562</v>
      </c>
      <c r="B94" t="s">
        <v>38</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38</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38</v>
      </c>
      <c r="C96" t="s">
        <v>39</v>
      </c>
      <c r="D96" s="3">
        <v>30000</v>
      </c>
      <c r="E96">
        <v>3</v>
      </c>
      <c r="F96" t="s">
        <v>27</v>
      </c>
      <c r="G96" t="s">
        <v>14</v>
      </c>
      <c r="H96" t="s">
        <v>15</v>
      </c>
      <c r="I96">
        <v>2</v>
      </c>
      <c r="J96" t="s">
        <v>23</v>
      </c>
      <c r="K96" t="s">
        <v>24</v>
      </c>
      <c r="L96">
        <v>55</v>
      </c>
      <c r="M96" t="str">
        <f t="shared" si="1"/>
        <v>Middle Age</v>
      </c>
      <c r="N96" t="s">
        <v>18</v>
      </c>
    </row>
    <row r="97" spans="1:14" x14ac:dyDescent="0.35">
      <c r="A97">
        <v>17197</v>
      </c>
      <c r="B97" t="s">
        <v>38</v>
      </c>
      <c r="C97" t="s">
        <v>39</v>
      </c>
      <c r="D97" s="3">
        <v>90000</v>
      </c>
      <c r="E97">
        <v>5</v>
      </c>
      <c r="F97" t="s">
        <v>19</v>
      </c>
      <c r="G97" t="s">
        <v>21</v>
      </c>
      <c r="H97" t="s">
        <v>15</v>
      </c>
      <c r="I97">
        <v>2</v>
      </c>
      <c r="J97" t="s">
        <v>47</v>
      </c>
      <c r="K97" t="s">
        <v>17</v>
      </c>
      <c r="L97">
        <v>62</v>
      </c>
      <c r="M97" t="str">
        <f t="shared" si="1"/>
        <v>Old</v>
      </c>
      <c r="N97" t="s">
        <v>18</v>
      </c>
    </row>
    <row r="98" spans="1:14" x14ac:dyDescent="0.35">
      <c r="A98">
        <v>12507</v>
      </c>
      <c r="B98" t="s">
        <v>37</v>
      </c>
      <c r="C98" t="s">
        <v>40</v>
      </c>
      <c r="D98" s="3">
        <v>30000</v>
      </c>
      <c r="E98">
        <v>1</v>
      </c>
      <c r="F98" t="s">
        <v>19</v>
      </c>
      <c r="G98" t="s">
        <v>20</v>
      </c>
      <c r="H98" t="s">
        <v>15</v>
      </c>
      <c r="I98">
        <v>1</v>
      </c>
      <c r="J98" t="s">
        <v>16</v>
      </c>
      <c r="K98" t="s">
        <v>17</v>
      </c>
      <c r="L98">
        <v>43</v>
      </c>
      <c r="M98" t="str">
        <f t="shared" si="1"/>
        <v>Middle Age</v>
      </c>
      <c r="N98" t="s">
        <v>18</v>
      </c>
    </row>
    <row r="99" spans="1:14" x14ac:dyDescent="0.35">
      <c r="A99">
        <v>23940</v>
      </c>
      <c r="B99" t="s">
        <v>37</v>
      </c>
      <c r="C99" t="s">
        <v>40</v>
      </c>
      <c r="D99" s="3">
        <v>40000</v>
      </c>
      <c r="E99">
        <v>1</v>
      </c>
      <c r="F99" t="s">
        <v>13</v>
      </c>
      <c r="G99" t="s">
        <v>14</v>
      </c>
      <c r="H99" t="s">
        <v>15</v>
      </c>
      <c r="I99">
        <v>1</v>
      </c>
      <c r="J99" t="s">
        <v>16</v>
      </c>
      <c r="K99" t="s">
        <v>17</v>
      </c>
      <c r="L99">
        <v>44</v>
      </c>
      <c r="M99" t="str">
        <f t="shared" si="1"/>
        <v>Middle Age</v>
      </c>
      <c r="N99" t="s">
        <v>15</v>
      </c>
    </row>
    <row r="100" spans="1:14" x14ac:dyDescent="0.35">
      <c r="A100">
        <v>19441</v>
      </c>
      <c r="B100" t="s">
        <v>37</v>
      </c>
      <c r="C100" t="s">
        <v>40</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37</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38</v>
      </c>
      <c r="C102" t="s">
        <v>40</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38</v>
      </c>
      <c r="C103" t="s">
        <v>40</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37</v>
      </c>
      <c r="C104" t="s">
        <v>40</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38</v>
      </c>
      <c r="C105" t="s">
        <v>40</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38</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38</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37</v>
      </c>
      <c r="C108" t="s">
        <v>40</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38</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37</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38</v>
      </c>
      <c r="C111" t="s">
        <v>40</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38</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38</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38</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38</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37</v>
      </c>
      <c r="C116" t="s">
        <v>40</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38</v>
      </c>
      <c r="C117" t="s">
        <v>40</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37</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38</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37</v>
      </c>
      <c r="C120" t="s">
        <v>40</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38</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37</v>
      </c>
      <c r="C123" t="s">
        <v>40</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38</v>
      </c>
      <c r="C124" t="s">
        <v>39</v>
      </c>
      <c r="D124" s="3">
        <v>80000</v>
      </c>
      <c r="E124">
        <v>0</v>
      </c>
      <c r="F124" t="s">
        <v>13</v>
      </c>
      <c r="G124" t="s">
        <v>21</v>
      </c>
      <c r="H124" t="s">
        <v>18</v>
      </c>
      <c r="I124">
        <v>3</v>
      </c>
      <c r="J124" t="s">
        <v>47</v>
      </c>
      <c r="K124" t="s">
        <v>24</v>
      </c>
      <c r="L124">
        <v>31</v>
      </c>
      <c r="M124" t="str">
        <f t="shared" si="1"/>
        <v>Middle Age</v>
      </c>
      <c r="N124" t="s">
        <v>18</v>
      </c>
    </row>
    <row r="125" spans="1:14" x14ac:dyDescent="0.35">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38</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37</v>
      </c>
      <c r="C127" t="s">
        <v>40</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38</v>
      </c>
      <c r="C128" t="s">
        <v>40</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37</v>
      </c>
      <c r="C129" t="s">
        <v>40</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38</v>
      </c>
      <c r="C130" t="s">
        <v>40</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38</v>
      </c>
      <c r="C131" t="s">
        <v>40</v>
      </c>
      <c r="D131" s="3">
        <v>10000</v>
      </c>
      <c r="E131">
        <v>3</v>
      </c>
      <c r="F131" t="s">
        <v>27</v>
      </c>
      <c r="G131" t="s">
        <v>25</v>
      </c>
      <c r="H131" t="s">
        <v>15</v>
      </c>
      <c r="I131">
        <v>1</v>
      </c>
      <c r="J131" t="s">
        <v>16</v>
      </c>
      <c r="K131" t="s">
        <v>17</v>
      </c>
      <c r="L131">
        <v>39</v>
      </c>
      <c r="M131" t="str">
        <f t="shared" ref="M131:M194" si="2">IF(L131&gt;55,"Old",IF(L131&gt;=31, "Middle Age",IF(L131&lt;31, "Adolescent","Invalid")))</f>
        <v>Middle Age</v>
      </c>
      <c r="N131" t="s">
        <v>15</v>
      </c>
    </row>
    <row r="132" spans="1:14" x14ac:dyDescent="0.35">
      <c r="A132">
        <v>12993</v>
      </c>
      <c r="B132" t="s">
        <v>37</v>
      </c>
      <c r="C132" t="s">
        <v>40</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37</v>
      </c>
      <c r="C133" t="s">
        <v>40</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37</v>
      </c>
      <c r="C134" t="s">
        <v>40</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38</v>
      </c>
      <c r="C135" t="s">
        <v>40</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38</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37</v>
      </c>
      <c r="C137" t="s">
        <v>40</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38</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38</v>
      </c>
      <c r="C139" t="s">
        <v>40</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37</v>
      </c>
      <c r="C140" t="s">
        <v>39</v>
      </c>
      <c r="D140" s="3">
        <v>20000</v>
      </c>
      <c r="E140">
        <v>2</v>
      </c>
      <c r="F140" t="s">
        <v>29</v>
      </c>
      <c r="G140" t="s">
        <v>20</v>
      </c>
      <c r="H140" t="s">
        <v>15</v>
      </c>
      <c r="I140">
        <v>2</v>
      </c>
      <c r="J140" t="s">
        <v>23</v>
      </c>
      <c r="K140" t="s">
        <v>24</v>
      </c>
      <c r="L140">
        <v>55</v>
      </c>
      <c r="M140" t="str">
        <f t="shared" si="2"/>
        <v>Middle Age</v>
      </c>
      <c r="N140" t="s">
        <v>15</v>
      </c>
    </row>
    <row r="141" spans="1:14" x14ac:dyDescent="0.35">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38</v>
      </c>
      <c r="C142" t="s">
        <v>40</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38</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37</v>
      </c>
      <c r="C144" t="s">
        <v>40</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37</v>
      </c>
      <c r="C145" t="s">
        <v>39</v>
      </c>
      <c r="D145" s="3">
        <v>80000</v>
      </c>
      <c r="E145">
        <v>0</v>
      </c>
      <c r="F145" t="s">
        <v>13</v>
      </c>
      <c r="G145" t="s">
        <v>21</v>
      </c>
      <c r="H145" t="s">
        <v>15</v>
      </c>
      <c r="I145">
        <v>3</v>
      </c>
      <c r="J145" t="s">
        <v>47</v>
      </c>
      <c r="K145" t="s">
        <v>24</v>
      </c>
      <c r="L145">
        <v>32</v>
      </c>
      <c r="M145" t="str">
        <f t="shared" si="2"/>
        <v>Middle Age</v>
      </c>
      <c r="N145" t="s">
        <v>18</v>
      </c>
    </row>
    <row r="146" spans="1:14" x14ac:dyDescent="0.35">
      <c r="A146">
        <v>20877</v>
      </c>
      <c r="B146" t="s">
        <v>38</v>
      </c>
      <c r="C146" t="s">
        <v>40</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37</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37</v>
      </c>
      <c r="C148" t="s">
        <v>40</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37</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37</v>
      </c>
      <c r="C150" t="s">
        <v>40</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38</v>
      </c>
      <c r="C151" t="s">
        <v>40</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37</v>
      </c>
      <c r="C152" t="s">
        <v>40</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38</v>
      </c>
      <c r="C153" t="s">
        <v>40</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38</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37</v>
      </c>
      <c r="C155" t="s">
        <v>40</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38</v>
      </c>
      <c r="C156" t="s">
        <v>40</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38</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38</v>
      </c>
      <c r="C159" t="s">
        <v>40</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38</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37</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38</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37</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38</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38</v>
      </c>
      <c r="C165" t="s">
        <v>40</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37</v>
      </c>
      <c r="C166" t="s">
        <v>40</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38</v>
      </c>
      <c r="C168" t="s">
        <v>40</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38</v>
      </c>
      <c r="C169" t="s">
        <v>40</v>
      </c>
      <c r="D169" s="3">
        <v>100000</v>
      </c>
      <c r="E169">
        <v>0</v>
      </c>
      <c r="F169" t="s">
        <v>27</v>
      </c>
      <c r="G169" t="s">
        <v>28</v>
      </c>
      <c r="H169" t="s">
        <v>15</v>
      </c>
      <c r="I169">
        <v>3</v>
      </c>
      <c r="J169" t="s">
        <v>47</v>
      </c>
      <c r="K169" t="s">
        <v>24</v>
      </c>
      <c r="L169">
        <v>35</v>
      </c>
      <c r="M169" t="str">
        <f t="shared" si="2"/>
        <v>Middle Age</v>
      </c>
      <c r="N169" t="s">
        <v>18</v>
      </c>
    </row>
    <row r="170" spans="1:14" x14ac:dyDescent="0.35">
      <c r="A170">
        <v>14058</v>
      </c>
      <c r="B170" t="s">
        <v>38</v>
      </c>
      <c r="C170" t="s">
        <v>40</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37</v>
      </c>
      <c r="C171" t="s">
        <v>40</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37</v>
      </c>
      <c r="C174" t="s">
        <v>40</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38</v>
      </c>
      <c r="C176" t="s">
        <v>40</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38</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38</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38</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37</v>
      </c>
      <c r="C180" t="s">
        <v>40</v>
      </c>
      <c r="D180" s="3">
        <v>160000</v>
      </c>
      <c r="E180">
        <v>4</v>
      </c>
      <c r="F180" t="s">
        <v>19</v>
      </c>
      <c r="G180" t="s">
        <v>21</v>
      </c>
      <c r="H180" t="s">
        <v>18</v>
      </c>
      <c r="I180">
        <v>2</v>
      </c>
      <c r="J180" t="s">
        <v>47</v>
      </c>
      <c r="K180" t="s">
        <v>17</v>
      </c>
      <c r="L180">
        <v>55</v>
      </c>
      <c r="M180" t="str">
        <f t="shared" si="2"/>
        <v>Middle Age</v>
      </c>
      <c r="N180" t="s">
        <v>15</v>
      </c>
    </row>
    <row r="181" spans="1:14" x14ac:dyDescent="0.35">
      <c r="A181">
        <v>12212</v>
      </c>
      <c r="B181" t="s">
        <v>37</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38</v>
      </c>
      <c r="C182" t="s">
        <v>40</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37</v>
      </c>
      <c r="C183" t="s">
        <v>39</v>
      </c>
      <c r="D183" s="3">
        <v>30000</v>
      </c>
      <c r="E183">
        <v>3</v>
      </c>
      <c r="F183" t="s">
        <v>19</v>
      </c>
      <c r="G183" t="s">
        <v>20</v>
      </c>
      <c r="H183" t="s">
        <v>18</v>
      </c>
      <c r="I183">
        <v>2</v>
      </c>
      <c r="J183" t="s">
        <v>26</v>
      </c>
      <c r="K183" t="s">
        <v>24</v>
      </c>
      <c r="L183">
        <v>55</v>
      </c>
      <c r="M183" t="str">
        <f t="shared" si="2"/>
        <v>Middle Age</v>
      </c>
      <c r="N183" t="s">
        <v>15</v>
      </c>
    </row>
    <row r="184" spans="1:14" x14ac:dyDescent="0.35">
      <c r="A184">
        <v>19445</v>
      </c>
      <c r="B184" t="s">
        <v>37</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38</v>
      </c>
      <c r="C185" t="s">
        <v>40</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37</v>
      </c>
      <c r="C186" t="s">
        <v>39</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37</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38</v>
      </c>
      <c r="C189" t="s">
        <v>40</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37</v>
      </c>
      <c r="C190" t="s">
        <v>39</v>
      </c>
      <c r="D190" s="3">
        <v>70000</v>
      </c>
      <c r="E190">
        <v>0</v>
      </c>
      <c r="F190" t="s">
        <v>13</v>
      </c>
      <c r="G190" t="s">
        <v>21</v>
      </c>
      <c r="H190" t="s">
        <v>15</v>
      </c>
      <c r="I190">
        <v>4</v>
      </c>
      <c r="J190" t="s">
        <v>47</v>
      </c>
      <c r="K190" t="s">
        <v>24</v>
      </c>
      <c r="L190">
        <v>32</v>
      </c>
      <c r="M190" t="str">
        <f t="shared" si="2"/>
        <v>Middle Age</v>
      </c>
      <c r="N190" t="s">
        <v>15</v>
      </c>
    </row>
    <row r="191" spans="1:14" x14ac:dyDescent="0.35">
      <c r="A191">
        <v>19482</v>
      </c>
      <c r="B191" t="s">
        <v>37</v>
      </c>
      <c r="C191" t="s">
        <v>40</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37</v>
      </c>
      <c r="C192" t="s">
        <v>40</v>
      </c>
      <c r="D192" s="3">
        <v>30000</v>
      </c>
      <c r="E192">
        <v>3</v>
      </c>
      <c r="F192" t="s">
        <v>27</v>
      </c>
      <c r="G192" t="s">
        <v>14</v>
      </c>
      <c r="H192" t="s">
        <v>15</v>
      </c>
      <c r="I192">
        <v>2</v>
      </c>
      <c r="J192" t="s">
        <v>23</v>
      </c>
      <c r="K192" t="s">
        <v>24</v>
      </c>
      <c r="L192">
        <v>55</v>
      </c>
      <c r="M192" t="str">
        <f t="shared" si="2"/>
        <v>Middle Age</v>
      </c>
      <c r="N192" t="s">
        <v>18</v>
      </c>
    </row>
    <row r="193" spans="1:14" x14ac:dyDescent="0.35">
      <c r="A193">
        <v>26944</v>
      </c>
      <c r="B193" t="s">
        <v>38</v>
      </c>
      <c r="C193" t="s">
        <v>40</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38</v>
      </c>
      <c r="C194" t="s">
        <v>39</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37</v>
      </c>
      <c r="C195" t="s">
        <v>39</v>
      </c>
      <c r="D195" s="3">
        <v>70000</v>
      </c>
      <c r="E195">
        <v>5</v>
      </c>
      <c r="F195" t="s">
        <v>13</v>
      </c>
      <c r="G195" t="s">
        <v>21</v>
      </c>
      <c r="H195" t="s">
        <v>15</v>
      </c>
      <c r="I195">
        <v>4</v>
      </c>
      <c r="J195" t="s">
        <v>47</v>
      </c>
      <c r="K195" t="s">
        <v>24</v>
      </c>
      <c r="L195">
        <v>41</v>
      </c>
      <c r="M195" t="str">
        <f t="shared" ref="M195:M258" si="3">IF(L195&gt;55,"Old",IF(L195&gt;=31, "Middle Age",IF(L195&lt;31, "Adolescent","Invalid")))</f>
        <v>Middle Age</v>
      </c>
      <c r="N195" t="s">
        <v>18</v>
      </c>
    </row>
    <row r="196" spans="1:14" x14ac:dyDescent="0.35">
      <c r="A196">
        <v>17843</v>
      </c>
      <c r="B196" t="s">
        <v>38</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38</v>
      </c>
      <c r="C197" t="s">
        <v>40</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38</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37</v>
      </c>
      <c r="C199" t="s">
        <v>40</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38</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38</v>
      </c>
      <c r="C201" t="s">
        <v>40</v>
      </c>
      <c r="D201" s="3">
        <v>80000</v>
      </c>
      <c r="E201">
        <v>0</v>
      </c>
      <c r="F201" t="s">
        <v>13</v>
      </c>
      <c r="G201" t="s">
        <v>21</v>
      </c>
      <c r="H201" t="s">
        <v>18</v>
      </c>
      <c r="I201">
        <v>3</v>
      </c>
      <c r="J201" t="s">
        <v>47</v>
      </c>
      <c r="K201" t="s">
        <v>24</v>
      </c>
      <c r="L201">
        <v>33</v>
      </c>
      <c r="M201" t="str">
        <f t="shared" si="3"/>
        <v>Middle Age</v>
      </c>
      <c r="N201" t="s">
        <v>15</v>
      </c>
    </row>
    <row r="202" spans="1:14" x14ac:dyDescent="0.35">
      <c r="A202">
        <v>24584</v>
      </c>
      <c r="B202" t="s">
        <v>38</v>
      </c>
      <c r="C202" t="s">
        <v>40</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37</v>
      </c>
      <c r="C203" t="s">
        <v>40</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38</v>
      </c>
      <c r="C204" t="s">
        <v>40</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38</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38</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37</v>
      </c>
      <c r="C207" t="s">
        <v>40</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38</v>
      </c>
      <c r="C208" t="s">
        <v>40</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38</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38</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38</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37</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37</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38</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38</v>
      </c>
      <c r="C215" t="s">
        <v>40</v>
      </c>
      <c r="D215" s="3">
        <v>70000</v>
      </c>
      <c r="E215">
        <v>0</v>
      </c>
      <c r="F215" t="s">
        <v>13</v>
      </c>
      <c r="G215" t="s">
        <v>21</v>
      </c>
      <c r="H215" t="s">
        <v>18</v>
      </c>
      <c r="I215">
        <v>4</v>
      </c>
      <c r="J215" t="s">
        <v>47</v>
      </c>
      <c r="K215" t="s">
        <v>24</v>
      </c>
      <c r="L215">
        <v>31</v>
      </c>
      <c r="M215" t="str">
        <f t="shared" si="3"/>
        <v>Middle Age</v>
      </c>
      <c r="N215" t="s">
        <v>15</v>
      </c>
    </row>
    <row r="216" spans="1:14" x14ac:dyDescent="0.35">
      <c r="A216">
        <v>25553</v>
      </c>
      <c r="B216" t="s">
        <v>37</v>
      </c>
      <c r="C216" t="s">
        <v>40</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38</v>
      </c>
      <c r="C217" t="s">
        <v>40</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37</v>
      </c>
      <c r="C218" t="s">
        <v>40</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38</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38</v>
      </c>
      <c r="C220" t="s">
        <v>40</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38</v>
      </c>
      <c r="C221" t="s">
        <v>40</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37</v>
      </c>
      <c r="C222" t="s">
        <v>40</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38</v>
      </c>
      <c r="C223" t="s">
        <v>40</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37</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38</v>
      </c>
      <c r="C225" t="s">
        <v>39</v>
      </c>
      <c r="D225" s="3">
        <v>70000</v>
      </c>
      <c r="E225">
        <v>5</v>
      </c>
      <c r="F225" t="s">
        <v>13</v>
      </c>
      <c r="G225" t="s">
        <v>21</v>
      </c>
      <c r="H225" t="s">
        <v>15</v>
      </c>
      <c r="I225">
        <v>4</v>
      </c>
      <c r="J225" t="s">
        <v>47</v>
      </c>
      <c r="K225" t="s">
        <v>24</v>
      </c>
      <c r="L225">
        <v>39</v>
      </c>
      <c r="M225" t="str">
        <f t="shared" si="3"/>
        <v>Middle Age</v>
      </c>
      <c r="N225" t="s">
        <v>18</v>
      </c>
    </row>
    <row r="226" spans="1:14" x14ac:dyDescent="0.35">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37</v>
      </c>
      <c r="C227" t="s">
        <v>40</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38</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37</v>
      </c>
      <c r="C229" t="s">
        <v>40</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37</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38</v>
      </c>
      <c r="C231" t="s">
        <v>40</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37</v>
      </c>
      <c r="C232" t="s">
        <v>40</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37</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37</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37</v>
      </c>
      <c r="C235" t="s">
        <v>40</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38</v>
      </c>
      <c r="C236" t="s">
        <v>40</v>
      </c>
      <c r="D236" s="3">
        <v>90000</v>
      </c>
      <c r="E236">
        <v>0</v>
      </c>
      <c r="F236" t="s">
        <v>13</v>
      </c>
      <c r="G236" t="s">
        <v>21</v>
      </c>
      <c r="H236" t="s">
        <v>18</v>
      </c>
      <c r="I236">
        <v>4</v>
      </c>
      <c r="J236" t="s">
        <v>47</v>
      </c>
      <c r="K236" t="s">
        <v>24</v>
      </c>
      <c r="L236">
        <v>35</v>
      </c>
      <c r="M236" t="str">
        <f t="shared" si="3"/>
        <v>Middle Age</v>
      </c>
      <c r="N236" t="s">
        <v>15</v>
      </c>
    </row>
    <row r="237" spans="1:14" x14ac:dyDescent="0.35">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38</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37</v>
      </c>
      <c r="C240" t="s">
        <v>40</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38</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37</v>
      </c>
      <c r="C242" t="s">
        <v>40</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38</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38</v>
      </c>
      <c r="C244" t="s">
        <v>40</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38</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37</v>
      </c>
      <c r="C246" t="s">
        <v>39</v>
      </c>
      <c r="D246" s="3">
        <v>120000</v>
      </c>
      <c r="E246">
        <v>3</v>
      </c>
      <c r="F246" t="s">
        <v>13</v>
      </c>
      <c r="G246" t="s">
        <v>28</v>
      </c>
      <c r="H246" t="s">
        <v>18</v>
      </c>
      <c r="I246">
        <v>2</v>
      </c>
      <c r="J246" t="s">
        <v>47</v>
      </c>
      <c r="K246" t="s">
        <v>17</v>
      </c>
      <c r="L246">
        <v>52</v>
      </c>
      <c r="M246" t="str">
        <f t="shared" si="3"/>
        <v>Middle Age</v>
      </c>
      <c r="N246" t="s">
        <v>15</v>
      </c>
    </row>
    <row r="247" spans="1:14" x14ac:dyDescent="0.35">
      <c r="A247">
        <v>18494</v>
      </c>
      <c r="B247" t="s">
        <v>37</v>
      </c>
      <c r="C247" t="s">
        <v>40</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37</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37</v>
      </c>
      <c r="C249" t="s">
        <v>39</v>
      </c>
      <c r="D249" s="3">
        <v>100000</v>
      </c>
      <c r="E249">
        <v>0</v>
      </c>
      <c r="F249" t="s">
        <v>27</v>
      </c>
      <c r="G249" t="s">
        <v>28</v>
      </c>
      <c r="H249" t="s">
        <v>15</v>
      </c>
      <c r="I249">
        <v>4</v>
      </c>
      <c r="J249" t="s">
        <v>47</v>
      </c>
      <c r="K249" t="s">
        <v>24</v>
      </c>
      <c r="L249">
        <v>34</v>
      </c>
      <c r="M249" t="str">
        <f t="shared" si="3"/>
        <v>Middle Age</v>
      </c>
      <c r="N249" t="s">
        <v>15</v>
      </c>
    </row>
    <row r="250" spans="1:14" x14ac:dyDescent="0.35">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38</v>
      </c>
      <c r="C251" t="s">
        <v>40</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37</v>
      </c>
      <c r="C252" t="s">
        <v>40</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37</v>
      </c>
      <c r="C253" t="s">
        <v>40</v>
      </c>
      <c r="D253" s="3">
        <v>130000</v>
      </c>
      <c r="E253">
        <v>4</v>
      </c>
      <c r="F253" t="s">
        <v>27</v>
      </c>
      <c r="G253" t="s">
        <v>21</v>
      </c>
      <c r="H253" t="s">
        <v>15</v>
      </c>
      <c r="I253">
        <v>3</v>
      </c>
      <c r="J253" t="s">
        <v>16</v>
      </c>
      <c r="K253" t="s">
        <v>17</v>
      </c>
      <c r="L253">
        <v>55</v>
      </c>
      <c r="M253" t="str">
        <f t="shared" si="3"/>
        <v>Middle Age</v>
      </c>
      <c r="N253" t="s">
        <v>18</v>
      </c>
    </row>
    <row r="254" spans="1:14" x14ac:dyDescent="0.35">
      <c r="A254">
        <v>12666</v>
      </c>
      <c r="B254" t="s">
        <v>38</v>
      </c>
      <c r="C254" t="s">
        <v>40</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37</v>
      </c>
      <c r="C255" t="s">
        <v>40</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38</v>
      </c>
      <c r="C256" t="s">
        <v>40</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38</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37</v>
      </c>
      <c r="C258" t="s">
        <v>40</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38</v>
      </c>
      <c r="C259" t="s">
        <v>39</v>
      </c>
      <c r="D259" s="3">
        <v>50000</v>
      </c>
      <c r="E259">
        <v>0</v>
      </c>
      <c r="F259" t="s">
        <v>31</v>
      </c>
      <c r="G259" t="s">
        <v>14</v>
      </c>
      <c r="H259" t="s">
        <v>15</v>
      </c>
      <c r="I259">
        <v>0</v>
      </c>
      <c r="J259" t="s">
        <v>16</v>
      </c>
      <c r="K259" t="s">
        <v>17</v>
      </c>
      <c r="L259">
        <v>36</v>
      </c>
      <c r="M259" t="str">
        <f t="shared" ref="M259:M322" si="4">IF(L259&gt;55,"Old",IF(L259&gt;=31, "Middle Age",IF(L259&lt;31, "Adolescent","Invalid")))</f>
        <v>Middle Age</v>
      </c>
      <c r="N259" t="s">
        <v>15</v>
      </c>
    </row>
    <row r="260" spans="1:14" x14ac:dyDescent="0.35">
      <c r="A260">
        <v>14193</v>
      </c>
      <c r="B260" t="s">
        <v>38</v>
      </c>
      <c r="C260" t="s">
        <v>39</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37</v>
      </c>
      <c r="C261" t="s">
        <v>40</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38</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37</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37</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38</v>
      </c>
      <c r="C265" t="s">
        <v>39</v>
      </c>
      <c r="D265" s="3">
        <v>70000</v>
      </c>
      <c r="E265">
        <v>5</v>
      </c>
      <c r="F265" t="s">
        <v>13</v>
      </c>
      <c r="G265" t="s">
        <v>21</v>
      </c>
      <c r="H265" t="s">
        <v>15</v>
      </c>
      <c r="I265">
        <v>3</v>
      </c>
      <c r="J265" t="s">
        <v>47</v>
      </c>
      <c r="K265" t="s">
        <v>24</v>
      </c>
      <c r="L265">
        <v>39</v>
      </c>
      <c r="M265" t="str">
        <f t="shared" si="4"/>
        <v>Middle Age</v>
      </c>
      <c r="N265" t="s">
        <v>18</v>
      </c>
    </row>
    <row r="266" spans="1:14" x14ac:dyDescent="0.35">
      <c r="A266">
        <v>17964</v>
      </c>
      <c r="B266" t="s">
        <v>37</v>
      </c>
      <c r="C266" t="s">
        <v>40</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38</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38</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38</v>
      </c>
      <c r="C269" t="s">
        <v>40</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37</v>
      </c>
      <c r="C270" t="s">
        <v>40</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38</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38</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38</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37</v>
      </c>
      <c r="C274" t="s">
        <v>40</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38</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37</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37</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37</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37</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37</v>
      </c>
      <c r="C280" t="s">
        <v>40</v>
      </c>
      <c r="D280" s="3">
        <v>100000</v>
      </c>
      <c r="E280">
        <v>0</v>
      </c>
      <c r="F280" t="s">
        <v>27</v>
      </c>
      <c r="G280" t="s">
        <v>28</v>
      </c>
      <c r="H280" t="s">
        <v>15</v>
      </c>
      <c r="I280">
        <v>3</v>
      </c>
      <c r="J280" t="s">
        <v>47</v>
      </c>
      <c r="K280" t="s">
        <v>24</v>
      </c>
      <c r="L280">
        <v>35</v>
      </c>
      <c r="M280" t="str">
        <f t="shared" si="4"/>
        <v>Middle Age</v>
      </c>
      <c r="N280" t="s">
        <v>15</v>
      </c>
    </row>
    <row r="281" spans="1:14" x14ac:dyDescent="0.35">
      <c r="A281">
        <v>16390</v>
      </c>
      <c r="B281" t="s">
        <v>38</v>
      </c>
      <c r="C281" t="s">
        <v>40</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38</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38</v>
      </c>
      <c r="C283" t="s">
        <v>40</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38</v>
      </c>
      <c r="C284" t="s">
        <v>40</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37</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38</v>
      </c>
      <c r="C286" t="s">
        <v>40</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37</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38</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38</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37</v>
      </c>
      <c r="C290" t="s">
        <v>40</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37</v>
      </c>
      <c r="C291" t="s">
        <v>40</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38</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37</v>
      </c>
      <c r="C293" t="s">
        <v>40</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37</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38</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38</v>
      </c>
      <c r="C296" t="s">
        <v>40</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38</v>
      </c>
      <c r="C297" t="s">
        <v>39</v>
      </c>
      <c r="D297" s="3">
        <v>110000</v>
      </c>
      <c r="E297">
        <v>0</v>
      </c>
      <c r="F297" t="s">
        <v>19</v>
      </c>
      <c r="G297" t="s">
        <v>28</v>
      </c>
      <c r="H297" t="s">
        <v>15</v>
      </c>
      <c r="I297">
        <v>3</v>
      </c>
      <c r="J297" t="s">
        <v>47</v>
      </c>
      <c r="K297" t="s">
        <v>24</v>
      </c>
      <c r="L297">
        <v>32</v>
      </c>
      <c r="M297" t="str">
        <f t="shared" si="4"/>
        <v>Middle Age</v>
      </c>
      <c r="N297" t="s">
        <v>15</v>
      </c>
    </row>
    <row r="298" spans="1:14" x14ac:dyDescent="0.35">
      <c r="A298">
        <v>26663</v>
      </c>
      <c r="B298" t="s">
        <v>38</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37</v>
      </c>
      <c r="C299" t="s">
        <v>40</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37</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38</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38</v>
      </c>
      <c r="C304" t="s">
        <v>40</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37</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37</v>
      </c>
      <c r="C306" t="s">
        <v>40</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38</v>
      </c>
      <c r="C307" t="s">
        <v>40</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37</v>
      </c>
      <c r="C308" t="s">
        <v>40</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37</v>
      </c>
      <c r="C309" t="s">
        <v>40</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37</v>
      </c>
      <c r="C310" t="s">
        <v>40</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37</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37</v>
      </c>
      <c r="C312" t="s">
        <v>40</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37</v>
      </c>
      <c r="C313" t="s">
        <v>40</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37</v>
      </c>
      <c r="C314" t="s">
        <v>40</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38</v>
      </c>
      <c r="C315" t="s">
        <v>40</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37</v>
      </c>
      <c r="C316" t="s">
        <v>40</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38</v>
      </c>
      <c r="C317" t="s">
        <v>40</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37</v>
      </c>
      <c r="C318" t="s">
        <v>40</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37</v>
      </c>
      <c r="C319" t="s">
        <v>40</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37</v>
      </c>
      <c r="C320" t="s">
        <v>40</v>
      </c>
      <c r="D320" s="3">
        <v>130000</v>
      </c>
      <c r="E320">
        <v>4</v>
      </c>
      <c r="F320" t="s">
        <v>19</v>
      </c>
      <c r="G320" t="s">
        <v>21</v>
      </c>
      <c r="H320" t="s">
        <v>18</v>
      </c>
      <c r="I320">
        <v>3</v>
      </c>
      <c r="J320" t="s">
        <v>47</v>
      </c>
      <c r="K320" t="s">
        <v>17</v>
      </c>
      <c r="L320">
        <v>54</v>
      </c>
      <c r="M320" t="str">
        <f t="shared" si="4"/>
        <v>Middle Age</v>
      </c>
      <c r="N320" t="s">
        <v>18</v>
      </c>
    </row>
    <row r="321" spans="1:14" x14ac:dyDescent="0.35">
      <c r="A321">
        <v>11386</v>
      </c>
      <c r="B321" t="s">
        <v>37</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37</v>
      </c>
      <c r="C322" t="s">
        <v>40</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38</v>
      </c>
      <c r="C323" t="s">
        <v>39</v>
      </c>
      <c r="D323" s="3">
        <v>160000</v>
      </c>
      <c r="E323">
        <v>0</v>
      </c>
      <c r="F323" t="s">
        <v>31</v>
      </c>
      <c r="G323" t="s">
        <v>28</v>
      </c>
      <c r="H323" t="s">
        <v>18</v>
      </c>
      <c r="I323">
        <v>3</v>
      </c>
      <c r="J323" t="s">
        <v>16</v>
      </c>
      <c r="K323" t="s">
        <v>24</v>
      </c>
      <c r="L323">
        <v>47</v>
      </c>
      <c r="M323" t="str">
        <f t="shared" ref="M323:M386" si="5">IF(L323&gt;55,"Old",IF(L323&gt;=31, "Middle Age",IF(L323&lt;31, "Adolescent","Invalid")))</f>
        <v>Middle Age</v>
      </c>
      <c r="N323" t="s">
        <v>15</v>
      </c>
    </row>
    <row r="324" spans="1:14" x14ac:dyDescent="0.35">
      <c r="A324">
        <v>16410</v>
      </c>
      <c r="B324" t="s">
        <v>38</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38</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37</v>
      </c>
      <c r="C326" t="s">
        <v>40</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38</v>
      </c>
      <c r="C327" t="s">
        <v>40</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37</v>
      </c>
      <c r="C329" t="s">
        <v>40</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38</v>
      </c>
      <c r="C330" t="s">
        <v>40</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37</v>
      </c>
      <c r="C331" t="s">
        <v>39</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38</v>
      </c>
      <c r="C332" t="s">
        <v>39</v>
      </c>
      <c r="D332" s="3">
        <v>80000</v>
      </c>
      <c r="E332">
        <v>0</v>
      </c>
      <c r="F332" t="s">
        <v>13</v>
      </c>
      <c r="G332" t="s">
        <v>21</v>
      </c>
      <c r="H332" t="s">
        <v>15</v>
      </c>
      <c r="I332">
        <v>3</v>
      </c>
      <c r="J332" t="s">
        <v>47</v>
      </c>
      <c r="K332" t="s">
        <v>24</v>
      </c>
      <c r="L332">
        <v>32</v>
      </c>
      <c r="M332" t="str">
        <f t="shared" si="5"/>
        <v>Middle Age</v>
      </c>
      <c r="N332" t="s">
        <v>18</v>
      </c>
    </row>
    <row r="333" spans="1:14" x14ac:dyDescent="0.35">
      <c r="A333">
        <v>19508</v>
      </c>
      <c r="B333" t="s">
        <v>37</v>
      </c>
      <c r="C333" t="s">
        <v>40</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38</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37</v>
      </c>
      <c r="C335" t="s">
        <v>40</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37</v>
      </c>
      <c r="C336" t="s">
        <v>40</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37</v>
      </c>
      <c r="C337" t="s">
        <v>40</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38</v>
      </c>
      <c r="C338" t="s">
        <v>40</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37</v>
      </c>
      <c r="C339" t="s">
        <v>40</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38</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37</v>
      </c>
      <c r="C341" t="s">
        <v>40</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38</v>
      </c>
      <c r="C342" t="s">
        <v>40</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38</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38</v>
      </c>
      <c r="C344" t="s">
        <v>40</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38</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38</v>
      </c>
      <c r="C346" t="s">
        <v>40</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37</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37</v>
      </c>
      <c r="C348" t="s">
        <v>40</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38</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37</v>
      </c>
      <c r="C350" t="s">
        <v>40</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38</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38</v>
      </c>
      <c r="C352" t="s">
        <v>40</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38</v>
      </c>
      <c r="C353" t="s">
        <v>40</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37</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38</v>
      </c>
      <c r="C355" t="s">
        <v>40</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38</v>
      </c>
      <c r="C356" t="s">
        <v>40</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38</v>
      </c>
      <c r="C357" t="s">
        <v>40</v>
      </c>
      <c r="D357" s="3">
        <v>80000</v>
      </c>
      <c r="E357">
        <v>0</v>
      </c>
      <c r="F357" t="s">
        <v>13</v>
      </c>
      <c r="G357" t="s">
        <v>21</v>
      </c>
      <c r="H357" t="s">
        <v>15</v>
      </c>
      <c r="I357">
        <v>3</v>
      </c>
      <c r="J357" t="s">
        <v>47</v>
      </c>
      <c r="K357" t="s">
        <v>24</v>
      </c>
      <c r="L357">
        <v>32</v>
      </c>
      <c r="M357" t="str">
        <f t="shared" si="5"/>
        <v>Middle Age</v>
      </c>
      <c r="N357" t="s">
        <v>18</v>
      </c>
    </row>
    <row r="358" spans="1:14" x14ac:dyDescent="0.35">
      <c r="A358">
        <v>23608</v>
      </c>
      <c r="B358" t="s">
        <v>37</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38</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37</v>
      </c>
      <c r="C360" t="s">
        <v>40</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37</v>
      </c>
      <c r="C361" t="s">
        <v>40</v>
      </c>
      <c r="D361" s="3">
        <v>80000</v>
      </c>
      <c r="E361">
        <v>0</v>
      </c>
      <c r="F361" t="s">
        <v>13</v>
      </c>
      <c r="G361" t="s">
        <v>21</v>
      </c>
      <c r="H361" t="s">
        <v>15</v>
      </c>
      <c r="I361">
        <v>3</v>
      </c>
      <c r="J361" t="s">
        <v>47</v>
      </c>
      <c r="K361" t="s">
        <v>24</v>
      </c>
      <c r="L361">
        <v>30</v>
      </c>
      <c r="M361" t="str">
        <f t="shared" si="5"/>
        <v>Adolescent</v>
      </c>
      <c r="N361" t="s">
        <v>18</v>
      </c>
    </row>
    <row r="362" spans="1:14" x14ac:dyDescent="0.35">
      <c r="A362">
        <v>13082</v>
      </c>
      <c r="B362" t="s">
        <v>38</v>
      </c>
      <c r="C362" t="s">
        <v>40</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38</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37</v>
      </c>
      <c r="C364" t="s">
        <v>40</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38</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38</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37</v>
      </c>
      <c r="C368" t="s">
        <v>40</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37</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38</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37</v>
      </c>
      <c r="C372" t="s">
        <v>39</v>
      </c>
      <c r="D372" s="3">
        <v>100000</v>
      </c>
      <c r="E372">
        <v>4</v>
      </c>
      <c r="F372" t="s">
        <v>13</v>
      </c>
      <c r="G372" t="s">
        <v>21</v>
      </c>
      <c r="H372" t="s">
        <v>15</v>
      </c>
      <c r="I372">
        <v>1</v>
      </c>
      <c r="J372" t="s">
        <v>47</v>
      </c>
      <c r="K372" t="s">
        <v>24</v>
      </c>
      <c r="L372">
        <v>46</v>
      </c>
      <c r="M372" t="str">
        <f t="shared" si="5"/>
        <v>Middle Age</v>
      </c>
      <c r="N372" t="s">
        <v>18</v>
      </c>
    </row>
    <row r="373" spans="1:14" x14ac:dyDescent="0.35">
      <c r="A373">
        <v>22918</v>
      </c>
      <c r="B373" t="s">
        <v>38</v>
      </c>
      <c r="C373" t="s">
        <v>40</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37</v>
      </c>
      <c r="C374" t="s">
        <v>40</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38</v>
      </c>
      <c r="C375" t="s">
        <v>40</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38</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37</v>
      </c>
      <c r="C378" t="s">
        <v>40</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37</v>
      </c>
      <c r="C379" t="s">
        <v>40</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37</v>
      </c>
      <c r="C380" t="s">
        <v>40</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37</v>
      </c>
      <c r="C381" t="s">
        <v>40</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38</v>
      </c>
      <c r="C382" t="s">
        <v>40</v>
      </c>
      <c r="D382" s="3">
        <v>70000</v>
      </c>
      <c r="E382">
        <v>0</v>
      </c>
      <c r="F382" t="s">
        <v>13</v>
      </c>
      <c r="G382" t="s">
        <v>21</v>
      </c>
      <c r="H382" t="s">
        <v>18</v>
      </c>
      <c r="I382">
        <v>3</v>
      </c>
      <c r="J382" t="s">
        <v>47</v>
      </c>
      <c r="K382" t="s">
        <v>24</v>
      </c>
      <c r="L382">
        <v>30</v>
      </c>
      <c r="M382" t="str">
        <f t="shared" si="5"/>
        <v>Adolescent</v>
      </c>
      <c r="N382" t="s">
        <v>15</v>
      </c>
    </row>
    <row r="383" spans="1:14" x14ac:dyDescent="0.35">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37</v>
      </c>
      <c r="C384" t="s">
        <v>40</v>
      </c>
      <c r="D384" s="3">
        <v>80000</v>
      </c>
      <c r="E384">
        <v>4</v>
      </c>
      <c r="F384" t="s">
        <v>19</v>
      </c>
      <c r="G384" t="s">
        <v>21</v>
      </c>
      <c r="H384" t="s">
        <v>15</v>
      </c>
      <c r="I384">
        <v>2</v>
      </c>
      <c r="J384" t="s">
        <v>47</v>
      </c>
      <c r="K384" t="s">
        <v>17</v>
      </c>
      <c r="L384">
        <v>53</v>
      </c>
      <c r="M384" t="str">
        <f t="shared" si="5"/>
        <v>Middle Age</v>
      </c>
      <c r="N384" t="s">
        <v>18</v>
      </c>
    </row>
    <row r="385" spans="1:14" x14ac:dyDescent="0.35">
      <c r="A385">
        <v>17978</v>
      </c>
      <c r="B385" t="s">
        <v>37</v>
      </c>
      <c r="C385" t="s">
        <v>40</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38</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38</v>
      </c>
      <c r="C387" t="s">
        <v>40</v>
      </c>
      <c r="D387" s="3">
        <v>30000</v>
      </c>
      <c r="E387">
        <v>3</v>
      </c>
      <c r="F387" t="s">
        <v>19</v>
      </c>
      <c r="G387" t="s">
        <v>20</v>
      </c>
      <c r="H387" t="s">
        <v>15</v>
      </c>
      <c r="I387">
        <v>0</v>
      </c>
      <c r="J387" t="s">
        <v>16</v>
      </c>
      <c r="K387" t="s">
        <v>17</v>
      </c>
      <c r="L387">
        <v>43</v>
      </c>
      <c r="M387" t="str">
        <f t="shared" ref="M387:M450" si="6">IF(L387&gt;55,"Old",IF(L387&gt;=31, "Middle Age",IF(L387&lt;31, "Adolescent","Invalid")))</f>
        <v>Middle Age</v>
      </c>
      <c r="N387" t="s">
        <v>18</v>
      </c>
    </row>
    <row r="388" spans="1:14" x14ac:dyDescent="0.35">
      <c r="A388">
        <v>28957</v>
      </c>
      <c r="B388" t="s">
        <v>38</v>
      </c>
      <c r="C388" t="s">
        <v>39</v>
      </c>
      <c r="D388" s="3">
        <v>120000</v>
      </c>
      <c r="E388">
        <v>0</v>
      </c>
      <c r="F388" t="s">
        <v>29</v>
      </c>
      <c r="G388" t="s">
        <v>21</v>
      </c>
      <c r="H388" t="s">
        <v>15</v>
      </c>
      <c r="I388">
        <v>4</v>
      </c>
      <c r="J388" t="s">
        <v>47</v>
      </c>
      <c r="K388" t="s">
        <v>24</v>
      </c>
      <c r="L388">
        <v>34</v>
      </c>
      <c r="M388" t="str">
        <f t="shared" si="6"/>
        <v>Middle Age</v>
      </c>
      <c r="N388" t="s">
        <v>15</v>
      </c>
    </row>
    <row r="389" spans="1:14" x14ac:dyDescent="0.35">
      <c r="A389">
        <v>13690</v>
      </c>
      <c r="B389" t="s">
        <v>38</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37</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38</v>
      </c>
      <c r="C392" t="s">
        <v>40</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38</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38</v>
      </c>
      <c r="C394" t="s">
        <v>40</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37</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37</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37</v>
      </c>
      <c r="C397" t="s">
        <v>40</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38</v>
      </c>
      <c r="C398" t="s">
        <v>40</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38</v>
      </c>
      <c r="C400" t="s">
        <v>40</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38</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38</v>
      </c>
      <c r="C402" t="s">
        <v>39</v>
      </c>
      <c r="D402" s="3">
        <v>110000</v>
      </c>
      <c r="E402">
        <v>3</v>
      </c>
      <c r="F402" t="s">
        <v>13</v>
      </c>
      <c r="G402" t="s">
        <v>28</v>
      </c>
      <c r="H402" t="s">
        <v>15</v>
      </c>
      <c r="I402">
        <v>4</v>
      </c>
      <c r="J402" t="s">
        <v>47</v>
      </c>
      <c r="K402" t="s">
        <v>17</v>
      </c>
      <c r="L402">
        <v>53</v>
      </c>
      <c r="M402" t="str">
        <f t="shared" si="6"/>
        <v>Middle Age</v>
      </c>
      <c r="N402" t="s">
        <v>18</v>
      </c>
    </row>
    <row r="403" spans="1:14" x14ac:dyDescent="0.35">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37</v>
      </c>
      <c r="C404" t="s">
        <v>40</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37</v>
      </c>
      <c r="C405" t="s">
        <v>40</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37</v>
      </c>
      <c r="C406" t="s">
        <v>40</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37</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37</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38</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38</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37</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37</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37</v>
      </c>
      <c r="C413" t="s">
        <v>40</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38</v>
      </c>
      <c r="C414" t="s">
        <v>40</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37</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37</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38</v>
      </c>
      <c r="C418" t="s">
        <v>40</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37</v>
      </c>
      <c r="C420" t="s">
        <v>40</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38</v>
      </c>
      <c r="C421" t="s">
        <v>40</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37</v>
      </c>
      <c r="C422" t="s">
        <v>39</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37</v>
      </c>
      <c r="C423" t="s">
        <v>40</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38</v>
      </c>
      <c r="C424" t="s">
        <v>40</v>
      </c>
      <c r="D424" s="3">
        <v>110000</v>
      </c>
      <c r="E424">
        <v>0</v>
      </c>
      <c r="F424" t="s">
        <v>19</v>
      </c>
      <c r="G424" t="s">
        <v>28</v>
      </c>
      <c r="H424" t="s">
        <v>18</v>
      </c>
      <c r="I424">
        <v>3</v>
      </c>
      <c r="J424" t="s">
        <v>47</v>
      </c>
      <c r="K424" t="s">
        <v>24</v>
      </c>
      <c r="L424">
        <v>32</v>
      </c>
      <c r="M424" t="str">
        <f t="shared" si="6"/>
        <v>Middle Age</v>
      </c>
      <c r="N424" t="s">
        <v>15</v>
      </c>
    </row>
    <row r="425" spans="1:14" x14ac:dyDescent="0.35">
      <c r="A425">
        <v>27169</v>
      </c>
      <c r="B425" t="s">
        <v>38</v>
      </c>
      <c r="C425" t="s">
        <v>40</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38</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37</v>
      </c>
      <c r="C427" t="s">
        <v>40</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38</v>
      </c>
      <c r="C428" t="s">
        <v>40</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38</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37</v>
      </c>
      <c r="C430" t="s">
        <v>40</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38</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38</v>
      </c>
      <c r="C432" t="s">
        <v>39</v>
      </c>
      <c r="D432" s="3">
        <v>30000</v>
      </c>
      <c r="E432">
        <v>3</v>
      </c>
      <c r="F432" t="s">
        <v>27</v>
      </c>
      <c r="G432" t="s">
        <v>14</v>
      </c>
      <c r="H432" t="s">
        <v>15</v>
      </c>
      <c r="I432">
        <v>2</v>
      </c>
      <c r="J432" t="s">
        <v>23</v>
      </c>
      <c r="K432" t="s">
        <v>24</v>
      </c>
      <c r="L432">
        <v>55</v>
      </c>
      <c r="M432" t="str">
        <f t="shared" si="6"/>
        <v>Middle Age</v>
      </c>
      <c r="N432" t="s">
        <v>18</v>
      </c>
    </row>
    <row r="433" spans="1:14" x14ac:dyDescent="0.35">
      <c r="A433">
        <v>28488</v>
      </c>
      <c r="B433" t="s">
        <v>38</v>
      </c>
      <c r="C433" t="s">
        <v>40</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37</v>
      </c>
      <c r="C434" t="s">
        <v>39</v>
      </c>
      <c r="D434" s="3">
        <v>110000</v>
      </c>
      <c r="E434">
        <v>0</v>
      </c>
      <c r="F434" t="s">
        <v>27</v>
      </c>
      <c r="G434" t="s">
        <v>28</v>
      </c>
      <c r="H434" t="s">
        <v>15</v>
      </c>
      <c r="I434">
        <v>3</v>
      </c>
      <c r="J434" t="s">
        <v>47</v>
      </c>
      <c r="K434" t="s">
        <v>24</v>
      </c>
      <c r="L434">
        <v>34</v>
      </c>
      <c r="M434" t="str">
        <f t="shared" si="6"/>
        <v>Middle Age</v>
      </c>
      <c r="N434" t="s">
        <v>15</v>
      </c>
    </row>
    <row r="435" spans="1:14" x14ac:dyDescent="0.35">
      <c r="A435">
        <v>27814</v>
      </c>
      <c r="B435" t="s">
        <v>38</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37</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37</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38</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38</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37</v>
      </c>
      <c r="C441" t="s">
        <v>40</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38</v>
      </c>
      <c r="C442" t="s">
        <v>40</v>
      </c>
      <c r="D442" s="3">
        <v>90000</v>
      </c>
      <c r="E442">
        <v>0</v>
      </c>
      <c r="F442" t="s">
        <v>13</v>
      </c>
      <c r="G442" t="s">
        <v>21</v>
      </c>
      <c r="H442" t="s">
        <v>18</v>
      </c>
      <c r="I442">
        <v>3</v>
      </c>
      <c r="J442" t="s">
        <v>47</v>
      </c>
      <c r="K442" t="s">
        <v>24</v>
      </c>
      <c r="L442">
        <v>34</v>
      </c>
      <c r="M442" t="str">
        <f t="shared" si="6"/>
        <v>Middle Age</v>
      </c>
      <c r="N442" t="s">
        <v>15</v>
      </c>
    </row>
    <row r="443" spans="1:14" x14ac:dyDescent="0.35">
      <c r="A443">
        <v>11061</v>
      </c>
      <c r="B443" t="s">
        <v>37</v>
      </c>
      <c r="C443" t="s">
        <v>40</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38</v>
      </c>
      <c r="C444" t="s">
        <v>40</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37</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38</v>
      </c>
      <c r="C446" t="s">
        <v>40</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37</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37</v>
      </c>
      <c r="C448" t="s">
        <v>39</v>
      </c>
      <c r="D448" s="3">
        <v>130000</v>
      </c>
      <c r="E448">
        <v>0</v>
      </c>
      <c r="F448" t="s">
        <v>31</v>
      </c>
      <c r="G448" t="s">
        <v>28</v>
      </c>
      <c r="H448" t="s">
        <v>15</v>
      </c>
      <c r="I448">
        <v>1</v>
      </c>
      <c r="J448" t="s">
        <v>47</v>
      </c>
      <c r="K448" t="s">
        <v>24</v>
      </c>
      <c r="L448">
        <v>48</v>
      </c>
      <c r="M448" t="str">
        <f t="shared" si="6"/>
        <v>Middle Age</v>
      </c>
      <c r="N448" t="s">
        <v>18</v>
      </c>
    </row>
    <row r="449" spans="1:14" x14ac:dyDescent="0.35">
      <c r="A449">
        <v>20711</v>
      </c>
      <c r="B449" t="s">
        <v>37</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37</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37</v>
      </c>
      <c r="C451" t="s">
        <v>39</v>
      </c>
      <c r="D451" s="3">
        <v>40000</v>
      </c>
      <c r="E451">
        <v>1</v>
      </c>
      <c r="F451" t="s">
        <v>13</v>
      </c>
      <c r="G451" t="s">
        <v>14</v>
      </c>
      <c r="H451" t="s">
        <v>15</v>
      </c>
      <c r="I451">
        <v>0</v>
      </c>
      <c r="J451" t="s">
        <v>16</v>
      </c>
      <c r="K451" t="s">
        <v>17</v>
      </c>
      <c r="L451">
        <v>42</v>
      </c>
      <c r="M451" t="str">
        <f t="shared" ref="M451:M514" si="7">IF(L451&gt;55,"Old",IF(L451&gt;=31, "Middle Age",IF(L451&lt;31, "Adolescent","Invalid")))</f>
        <v>Middle Age</v>
      </c>
      <c r="N451" t="s">
        <v>18</v>
      </c>
    </row>
    <row r="452" spans="1:14" x14ac:dyDescent="0.35">
      <c r="A452">
        <v>16559</v>
      </c>
      <c r="B452" t="s">
        <v>38</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37</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38</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38</v>
      </c>
      <c r="C456" t="s">
        <v>40</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37</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38</v>
      </c>
      <c r="C458" t="s">
        <v>40</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37</v>
      </c>
      <c r="C460" t="s">
        <v>40</v>
      </c>
      <c r="D460" s="3">
        <v>120000</v>
      </c>
      <c r="E460">
        <v>0</v>
      </c>
      <c r="F460" t="s">
        <v>29</v>
      </c>
      <c r="G460" t="s">
        <v>21</v>
      </c>
      <c r="H460" t="s">
        <v>15</v>
      </c>
      <c r="I460">
        <v>4</v>
      </c>
      <c r="J460" t="s">
        <v>47</v>
      </c>
      <c r="K460" t="s">
        <v>24</v>
      </c>
      <c r="L460">
        <v>32</v>
      </c>
      <c r="M460" t="str">
        <f t="shared" si="7"/>
        <v>Middle Age</v>
      </c>
      <c r="N460" t="s">
        <v>15</v>
      </c>
    </row>
    <row r="461" spans="1:14" x14ac:dyDescent="0.35">
      <c r="A461">
        <v>21554</v>
      </c>
      <c r="B461" t="s">
        <v>38</v>
      </c>
      <c r="C461" t="s">
        <v>39</v>
      </c>
      <c r="D461" s="3">
        <v>80000</v>
      </c>
      <c r="E461">
        <v>0</v>
      </c>
      <c r="F461" t="s">
        <v>13</v>
      </c>
      <c r="G461" t="s">
        <v>21</v>
      </c>
      <c r="H461" t="s">
        <v>18</v>
      </c>
      <c r="I461">
        <v>3</v>
      </c>
      <c r="J461" t="s">
        <v>47</v>
      </c>
      <c r="K461" t="s">
        <v>24</v>
      </c>
      <c r="L461">
        <v>33</v>
      </c>
      <c r="M461" t="str">
        <f t="shared" si="7"/>
        <v>Middle Age</v>
      </c>
      <c r="N461" t="s">
        <v>18</v>
      </c>
    </row>
    <row r="462" spans="1:14" x14ac:dyDescent="0.35">
      <c r="A462">
        <v>13662</v>
      </c>
      <c r="B462" t="s">
        <v>38</v>
      </c>
      <c r="C462" t="s">
        <v>40</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37</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37</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38</v>
      </c>
      <c r="C465" t="s">
        <v>40</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38</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37</v>
      </c>
      <c r="C467" t="s">
        <v>40</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38</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38</v>
      </c>
      <c r="C469" t="s">
        <v>40</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37</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38</v>
      </c>
      <c r="C472" t="s">
        <v>40</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38</v>
      </c>
      <c r="C473" t="s">
        <v>40</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38</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37</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37</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37</v>
      </c>
      <c r="C477" t="s">
        <v>40</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38</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37</v>
      </c>
      <c r="C479" t="s">
        <v>40</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37</v>
      </c>
      <c r="C480" t="s">
        <v>40</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37</v>
      </c>
      <c r="C481" t="s">
        <v>40</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37</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38</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38</v>
      </c>
      <c r="C484" t="s">
        <v>40</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37</v>
      </c>
      <c r="C485" t="s">
        <v>40</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38</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38</v>
      </c>
      <c r="C487" t="s">
        <v>40</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37</v>
      </c>
      <c r="C488" t="s">
        <v>39</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37</v>
      </c>
      <c r="C489" t="s">
        <v>40</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38</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37</v>
      </c>
      <c r="C491" t="s">
        <v>40</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37</v>
      </c>
      <c r="C492" t="s">
        <v>40</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37</v>
      </c>
      <c r="C493" t="s">
        <v>40</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38</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38</v>
      </c>
      <c r="C495" t="s">
        <v>40</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37</v>
      </c>
      <c r="C496" t="s">
        <v>40</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37</v>
      </c>
      <c r="C497" t="s">
        <v>40</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38</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38</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37</v>
      </c>
      <c r="C500" t="s">
        <v>40</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38</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37</v>
      </c>
      <c r="C502" t="s">
        <v>40</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37</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37</v>
      </c>
      <c r="C504" t="s">
        <v>40</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37</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37</v>
      </c>
      <c r="C506" t="s">
        <v>40</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37</v>
      </c>
      <c r="C507" t="s">
        <v>40</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37</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37</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37</v>
      </c>
      <c r="C510" t="s">
        <v>40</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37</v>
      </c>
      <c r="C511" t="s">
        <v>40</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38</v>
      </c>
      <c r="C512" t="s">
        <v>40</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38</v>
      </c>
      <c r="C513" t="s">
        <v>40</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37</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38</v>
      </c>
      <c r="C515" t="s">
        <v>39</v>
      </c>
      <c r="D515" s="3">
        <v>60000</v>
      </c>
      <c r="E515">
        <v>4</v>
      </c>
      <c r="F515" t="s">
        <v>31</v>
      </c>
      <c r="G515" t="s">
        <v>28</v>
      </c>
      <c r="H515" t="s">
        <v>15</v>
      </c>
      <c r="I515">
        <v>2</v>
      </c>
      <c r="J515" t="s">
        <v>47</v>
      </c>
      <c r="K515" t="s">
        <v>32</v>
      </c>
      <c r="L515">
        <v>61</v>
      </c>
      <c r="M515" t="str">
        <f t="shared" ref="M515:M578" si="8">IF(L515&gt;55,"Old",IF(L515&gt;=31, "Middle Age",IF(L515&lt;31, "Adolescent","Invalid")))</f>
        <v>Old</v>
      </c>
      <c r="N515" t="s">
        <v>15</v>
      </c>
    </row>
    <row r="516" spans="1:14" x14ac:dyDescent="0.35">
      <c r="A516">
        <v>19399</v>
      </c>
      <c r="B516" t="s">
        <v>38</v>
      </c>
      <c r="C516" t="s">
        <v>40</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37</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37</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38</v>
      </c>
      <c r="C519" t="s">
        <v>40</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37</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37</v>
      </c>
      <c r="C521" t="s">
        <v>40</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38</v>
      </c>
      <c r="C522" t="s">
        <v>40</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38</v>
      </c>
      <c r="C523" t="s">
        <v>40</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38</v>
      </c>
      <c r="C524" t="s">
        <v>40</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37</v>
      </c>
      <c r="C525" t="s">
        <v>40</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38</v>
      </c>
      <c r="C527" t="s">
        <v>40</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37</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37</v>
      </c>
      <c r="C529" t="s">
        <v>40</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38</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37</v>
      </c>
      <c r="C531" t="s">
        <v>40</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37</v>
      </c>
      <c r="C532" t="s">
        <v>40</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38</v>
      </c>
      <c r="C533" t="s">
        <v>40</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38</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37</v>
      </c>
      <c r="C535" t="s">
        <v>40</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37</v>
      </c>
      <c r="C536" t="s">
        <v>40</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37</v>
      </c>
      <c r="C537" t="s">
        <v>40</v>
      </c>
      <c r="D537" s="3">
        <v>50000</v>
      </c>
      <c r="E537">
        <v>3</v>
      </c>
      <c r="F537" t="s">
        <v>13</v>
      </c>
      <c r="G537" t="s">
        <v>14</v>
      </c>
      <c r="H537" t="s">
        <v>15</v>
      </c>
      <c r="I537">
        <v>3</v>
      </c>
      <c r="J537" t="s">
        <v>47</v>
      </c>
      <c r="K537" t="s">
        <v>32</v>
      </c>
      <c r="L537">
        <v>41</v>
      </c>
      <c r="M537" t="str">
        <f t="shared" si="8"/>
        <v>Middle Age</v>
      </c>
      <c r="N537" t="s">
        <v>18</v>
      </c>
    </row>
    <row r="538" spans="1:14" x14ac:dyDescent="0.35">
      <c r="A538">
        <v>13907</v>
      </c>
      <c r="B538" t="s">
        <v>38</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37</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37</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38</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38</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37</v>
      </c>
      <c r="C543" t="s">
        <v>40</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37</v>
      </c>
      <c r="C544" t="s">
        <v>40</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37</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38</v>
      </c>
      <c r="C546" t="s">
        <v>40</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38</v>
      </c>
      <c r="C547" t="s">
        <v>40</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37</v>
      </c>
      <c r="C548" t="s">
        <v>40</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37</v>
      </c>
      <c r="C549" t="s">
        <v>40</v>
      </c>
      <c r="D549" s="3">
        <v>60000</v>
      </c>
      <c r="E549">
        <v>2</v>
      </c>
      <c r="F549" t="s">
        <v>27</v>
      </c>
      <c r="G549" t="s">
        <v>21</v>
      </c>
      <c r="H549" t="s">
        <v>15</v>
      </c>
      <c r="I549">
        <v>2</v>
      </c>
      <c r="J549" t="s">
        <v>22</v>
      </c>
      <c r="K549" t="s">
        <v>32</v>
      </c>
      <c r="L549">
        <v>55</v>
      </c>
      <c r="M549" t="str">
        <f t="shared" si="8"/>
        <v>Middle Age</v>
      </c>
      <c r="N549" t="s">
        <v>15</v>
      </c>
    </row>
    <row r="550" spans="1:14" x14ac:dyDescent="0.35">
      <c r="A550">
        <v>18674</v>
      </c>
      <c r="B550" t="s">
        <v>38</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37</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38</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37</v>
      </c>
      <c r="C553" t="s">
        <v>39</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38</v>
      </c>
      <c r="C554" t="s">
        <v>40</v>
      </c>
      <c r="D554" s="3">
        <v>60000</v>
      </c>
      <c r="E554">
        <v>3</v>
      </c>
      <c r="F554" t="s">
        <v>27</v>
      </c>
      <c r="G554" t="s">
        <v>21</v>
      </c>
      <c r="H554" t="s">
        <v>15</v>
      </c>
      <c r="I554">
        <v>2</v>
      </c>
      <c r="J554" t="s">
        <v>47</v>
      </c>
      <c r="K554" t="s">
        <v>32</v>
      </c>
      <c r="L554">
        <v>54</v>
      </c>
      <c r="M554" t="str">
        <f t="shared" si="8"/>
        <v>Middle Age</v>
      </c>
      <c r="N554" t="s">
        <v>15</v>
      </c>
    </row>
    <row r="555" spans="1:14" x14ac:dyDescent="0.35">
      <c r="A555">
        <v>17533</v>
      </c>
      <c r="B555" t="s">
        <v>37</v>
      </c>
      <c r="C555" t="s">
        <v>40</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37</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38</v>
      </c>
      <c r="C557" t="s">
        <v>40</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37</v>
      </c>
      <c r="C558" t="s">
        <v>40</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37</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37</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38</v>
      </c>
      <c r="C561" t="s">
        <v>39</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37</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37</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37</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38</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38</v>
      </c>
      <c r="C566" t="s">
        <v>40</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37</v>
      </c>
      <c r="C567" t="s">
        <v>40</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37</v>
      </c>
      <c r="C569" t="s">
        <v>40</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37</v>
      </c>
      <c r="C570" t="s">
        <v>40</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38</v>
      </c>
      <c r="C571" t="s">
        <v>40</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37</v>
      </c>
      <c r="C572" t="s">
        <v>40</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37</v>
      </c>
      <c r="C573" t="s">
        <v>40</v>
      </c>
      <c r="D573" s="3">
        <v>40000</v>
      </c>
      <c r="E573">
        <v>2</v>
      </c>
      <c r="F573" t="s">
        <v>29</v>
      </c>
      <c r="G573" t="s">
        <v>14</v>
      </c>
      <c r="H573" t="s">
        <v>15</v>
      </c>
      <c r="I573">
        <v>2</v>
      </c>
      <c r="J573" t="s">
        <v>22</v>
      </c>
      <c r="K573" t="s">
        <v>32</v>
      </c>
      <c r="L573">
        <v>55</v>
      </c>
      <c r="M573" t="str">
        <f t="shared" si="8"/>
        <v>Middle Age</v>
      </c>
      <c r="N573" t="s">
        <v>18</v>
      </c>
    </row>
    <row r="574" spans="1:14" x14ac:dyDescent="0.35">
      <c r="A574">
        <v>23549</v>
      </c>
      <c r="B574" t="s">
        <v>38</v>
      </c>
      <c r="C574" t="s">
        <v>40</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37</v>
      </c>
      <c r="C575" t="s">
        <v>40</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38</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38</v>
      </c>
      <c r="C577" t="s">
        <v>40</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38</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37</v>
      </c>
      <c r="C579" t="s">
        <v>40</v>
      </c>
      <c r="D579" s="3">
        <v>120000</v>
      </c>
      <c r="E579">
        <v>1</v>
      </c>
      <c r="F579" t="s">
        <v>13</v>
      </c>
      <c r="G579" t="s">
        <v>28</v>
      </c>
      <c r="H579" t="s">
        <v>15</v>
      </c>
      <c r="I579">
        <v>4</v>
      </c>
      <c r="J579" t="s">
        <v>16</v>
      </c>
      <c r="K579" t="s">
        <v>32</v>
      </c>
      <c r="L579">
        <v>38</v>
      </c>
      <c r="M579" t="str">
        <f t="shared" ref="M579:M642" si="9">IF(L579&gt;55,"Old",IF(L579&gt;=31, "Middle Age",IF(L579&lt;31, "Adolescent","Invalid")))</f>
        <v>Middle Age</v>
      </c>
      <c r="N579" t="s">
        <v>18</v>
      </c>
    </row>
    <row r="580" spans="1:14" x14ac:dyDescent="0.35">
      <c r="A580">
        <v>15313</v>
      </c>
      <c r="B580" t="s">
        <v>37</v>
      </c>
      <c r="C580" t="s">
        <v>40</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38</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37</v>
      </c>
      <c r="C582" t="s">
        <v>39</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37</v>
      </c>
      <c r="C583" t="s">
        <v>40</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37</v>
      </c>
      <c r="C584" t="s">
        <v>40</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37</v>
      </c>
      <c r="C585" t="s">
        <v>40</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38</v>
      </c>
      <c r="C586" t="s">
        <v>40</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38</v>
      </c>
      <c r="C587" t="s">
        <v>40</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37</v>
      </c>
      <c r="C588" t="s">
        <v>40</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37</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37</v>
      </c>
      <c r="C590" t="s">
        <v>39</v>
      </c>
      <c r="D590" s="3">
        <v>90000</v>
      </c>
      <c r="E590">
        <v>2</v>
      </c>
      <c r="F590" t="s">
        <v>27</v>
      </c>
      <c r="G590" t="s">
        <v>21</v>
      </c>
      <c r="H590" t="s">
        <v>15</v>
      </c>
      <c r="I590">
        <v>1</v>
      </c>
      <c r="J590" t="s">
        <v>47</v>
      </c>
      <c r="K590" t="s">
        <v>32</v>
      </c>
      <c r="L590">
        <v>51</v>
      </c>
      <c r="M590" t="str">
        <f t="shared" si="9"/>
        <v>Middle Age</v>
      </c>
      <c r="N590" t="s">
        <v>15</v>
      </c>
    </row>
    <row r="591" spans="1:14" x14ac:dyDescent="0.35">
      <c r="A591">
        <v>12100</v>
      </c>
      <c r="B591" t="s">
        <v>38</v>
      </c>
      <c r="C591" t="s">
        <v>40</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37</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37</v>
      </c>
      <c r="C593" t="s">
        <v>40</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38</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38</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37</v>
      </c>
      <c r="C596" t="s">
        <v>40</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37</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38</v>
      </c>
      <c r="C599" t="s">
        <v>40</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37</v>
      </c>
      <c r="C600" t="s">
        <v>40</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37</v>
      </c>
      <c r="C602" t="s">
        <v>40</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38</v>
      </c>
      <c r="C603" t="s">
        <v>40</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38</v>
      </c>
      <c r="C604" t="s">
        <v>40</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37</v>
      </c>
      <c r="C605" t="s">
        <v>40</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37</v>
      </c>
      <c r="C606" t="s">
        <v>40</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38</v>
      </c>
      <c r="C607" t="s">
        <v>40</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38</v>
      </c>
      <c r="C608" t="s">
        <v>40</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38</v>
      </c>
      <c r="C609" t="s">
        <v>39</v>
      </c>
      <c r="D609" s="3">
        <v>70000</v>
      </c>
      <c r="E609">
        <v>5</v>
      </c>
      <c r="F609" t="s">
        <v>31</v>
      </c>
      <c r="G609" t="s">
        <v>21</v>
      </c>
      <c r="H609" t="s">
        <v>15</v>
      </c>
      <c r="I609">
        <v>3</v>
      </c>
      <c r="J609" t="s">
        <v>47</v>
      </c>
      <c r="K609" t="s">
        <v>32</v>
      </c>
      <c r="L609">
        <v>46</v>
      </c>
      <c r="M609" t="str">
        <f t="shared" si="9"/>
        <v>Middle Age</v>
      </c>
      <c r="N609" t="s">
        <v>15</v>
      </c>
    </row>
    <row r="610" spans="1:14" x14ac:dyDescent="0.35">
      <c r="A610">
        <v>16890</v>
      </c>
      <c r="B610" t="s">
        <v>37</v>
      </c>
      <c r="C610" t="s">
        <v>40</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37</v>
      </c>
      <c r="C611" t="s">
        <v>40</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37</v>
      </c>
      <c r="C612" t="s">
        <v>40</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37</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38</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38</v>
      </c>
      <c r="C615" t="s">
        <v>40</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37</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38</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38</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37</v>
      </c>
      <c r="C619" t="s">
        <v>40</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38</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38</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37</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37</v>
      </c>
      <c r="C623" t="s">
        <v>40</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37</v>
      </c>
      <c r="C624" t="s">
        <v>40</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37</v>
      </c>
      <c r="C625" t="s">
        <v>39</v>
      </c>
      <c r="D625" s="3">
        <v>70000</v>
      </c>
      <c r="E625">
        <v>4</v>
      </c>
      <c r="F625" t="s">
        <v>19</v>
      </c>
      <c r="G625" t="s">
        <v>21</v>
      </c>
      <c r="H625" t="s">
        <v>15</v>
      </c>
      <c r="I625">
        <v>1</v>
      </c>
      <c r="J625" t="s">
        <v>26</v>
      </c>
      <c r="K625" t="s">
        <v>32</v>
      </c>
      <c r="L625">
        <v>55</v>
      </c>
      <c r="M625" t="str">
        <f t="shared" si="9"/>
        <v>Middle Age</v>
      </c>
      <c r="N625" t="s">
        <v>18</v>
      </c>
    </row>
    <row r="626" spans="1:14" x14ac:dyDescent="0.35">
      <c r="A626">
        <v>25943</v>
      </c>
      <c r="B626" t="s">
        <v>38</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37</v>
      </c>
      <c r="C627" t="s">
        <v>40</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38</v>
      </c>
      <c r="C630" t="s">
        <v>40</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37</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37</v>
      </c>
      <c r="C632" t="s">
        <v>40</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38</v>
      </c>
      <c r="C633" t="s">
        <v>40</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38</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37</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37</v>
      </c>
      <c r="C636" t="s">
        <v>40</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38</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38</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38</v>
      </c>
      <c r="C639" t="s">
        <v>40</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38</v>
      </c>
      <c r="C640" t="s">
        <v>40</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37</v>
      </c>
      <c r="C641" t="s">
        <v>40</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37</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37</v>
      </c>
      <c r="C643" t="s">
        <v>40</v>
      </c>
      <c r="D643" s="3">
        <v>50000</v>
      </c>
      <c r="E643">
        <v>4</v>
      </c>
      <c r="F643" t="s">
        <v>13</v>
      </c>
      <c r="G643" t="s">
        <v>28</v>
      </c>
      <c r="H643" t="s">
        <v>15</v>
      </c>
      <c r="I643">
        <v>2</v>
      </c>
      <c r="J643" t="s">
        <v>47</v>
      </c>
      <c r="K643" t="s">
        <v>32</v>
      </c>
      <c r="L643">
        <v>64</v>
      </c>
      <c r="M643" t="str">
        <f t="shared" ref="M643:M706" si="10">IF(L643&gt;55,"Old",IF(L643&gt;=31, "Middle Age",IF(L643&lt;31, "Adolescent","Invalid")))</f>
        <v>Old</v>
      </c>
      <c r="N643" t="s">
        <v>18</v>
      </c>
    </row>
    <row r="644" spans="1:14" x14ac:dyDescent="0.35">
      <c r="A644">
        <v>21741</v>
      </c>
      <c r="B644" t="s">
        <v>37</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37</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37</v>
      </c>
      <c r="C646" t="s">
        <v>39</v>
      </c>
      <c r="D646" s="3">
        <v>60000</v>
      </c>
      <c r="E646">
        <v>5</v>
      </c>
      <c r="F646" t="s">
        <v>13</v>
      </c>
      <c r="G646" t="s">
        <v>14</v>
      </c>
      <c r="H646" t="s">
        <v>15</v>
      </c>
      <c r="I646">
        <v>3</v>
      </c>
      <c r="J646" t="s">
        <v>47</v>
      </c>
      <c r="K646" t="s">
        <v>32</v>
      </c>
      <c r="L646">
        <v>41</v>
      </c>
      <c r="M646" t="str">
        <f t="shared" si="10"/>
        <v>Middle Age</v>
      </c>
      <c r="N646" t="s">
        <v>18</v>
      </c>
    </row>
    <row r="647" spans="1:14" x14ac:dyDescent="0.35">
      <c r="A647">
        <v>16217</v>
      </c>
      <c r="B647" t="s">
        <v>38</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38</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38</v>
      </c>
      <c r="C649" t="s">
        <v>40</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38</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38</v>
      </c>
      <c r="C652" t="s">
        <v>39</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38</v>
      </c>
      <c r="C653" t="s">
        <v>40</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37</v>
      </c>
      <c r="C654" t="s">
        <v>40</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38</v>
      </c>
      <c r="C655" t="s">
        <v>40</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38</v>
      </c>
      <c r="C656" t="s">
        <v>40</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37</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37</v>
      </c>
      <c r="C658" t="s">
        <v>40</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37</v>
      </c>
      <c r="C659" t="s">
        <v>40</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38</v>
      </c>
      <c r="C660" t="s">
        <v>40</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38</v>
      </c>
      <c r="C661" t="s">
        <v>39</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37</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38</v>
      </c>
      <c r="C663" t="s">
        <v>40</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38</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37</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37</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37</v>
      </c>
      <c r="C667" t="s">
        <v>40</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37</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37</v>
      </c>
      <c r="C669" t="s">
        <v>39</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37</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37</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37</v>
      </c>
      <c r="C672" t="s">
        <v>40</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38</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38</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38</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37</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37</v>
      </c>
      <c r="C677" t="s">
        <v>40</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37</v>
      </c>
      <c r="C678" t="s">
        <v>40</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37</v>
      </c>
      <c r="C679" t="s">
        <v>40</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37</v>
      </c>
      <c r="C680" t="s">
        <v>40</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37</v>
      </c>
      <c r="C681" t="s">
        <v>40</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37</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38</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37</v>
      </c>
      <c r="C684" t="s">
        <v>40</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37</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38</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38</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37</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38</v>
      </c>
      <c r="C689" t="s">
        <v>40</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38</v>
      </c>
      <c r="C690" t="s">
        <v>40</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37</v>
      </c>
      <c r="C691" t="s">
        <v>40</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38</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37</v>
      </c>
      <c r="C693" t="s">
        <v>40</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37</v>
      </c>
      <c r="C694" t="s">
        <v>40</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38</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38</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37</v>
      </c>
      <c r="C697" t="s">
        <v>40</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38</v>
      </c>
      <c r="C698" t="s">
        <v>40</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37</v>
      </c>
      <c r="C700" t="s">
        <v>40</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38</v>
      </c>
      <c r="C701" t="s">
        <v>40</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38</v>
      </c>
      <c r="C703" t="s">
        <v>40</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37</v>
      </c>
      <c r="C704" t="s">
        <v>40</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38</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38</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37</v>
      </c>
      <c r="C707" t="s">
        <v>39</v>
      </c>
      <c r="D707" s="3">
        <v>70000</v>
      </c>
      <c r="E707">
        <v>4</v>
      </c>
      <c r="F707" t="s">
        <v>13</v>
      </c>
      <c r="G707" t="s">
        <v>28</v>
      </c>
      <c r="H707" t="s">
        <v>15</v>
      </c>
      <c r="I707">
        <v>1</v>
      </c>
      <c r="J707" t="s">
        <v>47</v>
      </c>
      <c r="K707" t="s">
        <v>32</v>
      </c>
      <c r="L707">
        <v>59</v>
      </c>
      <c r="M707" t="str">
        <f t="shared" ref="M707:M770" si="11">IF(L707&gt;55,"Old",IF(L707&gt;=31, "Middle Age",IF(L707&lt;31, "Adolescent","Invalid")))</f>
        <v>Old</v>
      </c>
      <c r="N707" t="s">
        <v>18</v>
      </c>
    </row>
    <row r="708" spans="1:14" x14ac:dyDescent="0.35">
      <c r="A708">
        <v>20296</v>
      </c>
      <c r="B708" t="s">
        <v>38</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37</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37</v>
      </c>
      <c r="C710" t="s">
        <v>40</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38</v>
      </c>
      <c r="C711" t="s">
        <v>39</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37</v>
      </c>
      <c r="C712" t="s">
        <v>40</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37</v>
      </c>
      <c r="C713" t="s">
        <v>39</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38</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37</v>
      </c>
      <c r="C716" t="s">
        <v>40</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37</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38</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38</v>
      </c>
      <c r="C719" t="s">
        <v>40</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37</v>
      </c>
      <c r="C720" t="s">
        <v>40</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37</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38</v>
      </c>
      <c r="C723" t="s">
        <v>40</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38</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38</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37</v>
      </c>
      <c r="C726" t="s">
        <v>40</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37</v>
      </c>
      <c r="C727" t="s">
        <v>40</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37</v>
      </c>
      <c r="C728" t="s">
        <v>40</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37</v>
      </c>
      <c r="C729" t="s">
        <v>40</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37</v>
      </c>
      <c r="C730" t="s">
        <v>40</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37</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38</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37</v>
      </c>
      <c r="C733" t="s">
        <v>40</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38</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38</v>
      </c>
      <c r="C735" t="s">
        <v>40</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38</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38</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37</v>
      </c>
      <c r="C738" t="s">
        <v>40</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37</v>
      </c>
      <c r="C739" t="s">
        <v>40</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38</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37</v>
      </c>
      <c r="C741" t="s">
        <v>39</v>
      </c>
      <c r="D741" s="3">
        <v>60000</v>
      </c>
      <c r="E741">
        <v>2</v>
      </c>
      <c r="F741" t="s">
        <v>19</v>
      </c>
      <c r="G741" t="s">
        <v>21</v>
      </c>
      <c r="H741" t="s">
        <v>15</v>
      </c>
      <c r="I741">
        <v>1</v>
      </c>
      <c r="J741" t="s">
        <v>47</v>
      </c>
      <c r="K741" t="s">
        <v>32</v>
      </c>
      <c r="L741">
        <v>55</v>
      </c>
      <c r="M741" t="str">
        <f t="shared" si="11"/>
        <v>Middle Age</v>
      </c>
      <c r="N741" t="s">
        <v>18</v>
      </c>
    </row>
    <row r="742" spans="1:14" x14ac:dyDescent="0.35">
      <c r="A742">
        <v>17657</v>
      </c>
      <c r="B742" t="s">
        <v>37</v>
      </c>
      <c r="C742" t="s">
        <v>40</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37</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38</v>
      </c>
      <c r="C744" t="s">
        <v>40</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37</v>
      </c>
      <c r="C745" t="s">
        <v>40</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37</v>
      </c>
      <c r="C746" t="s">
        <v>39</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37</v>
      </c>
      <c r="C747" t="s">
        <v>40</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37</v>
      </c>
      <c r="C748" t="s">
        <v>39</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38</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37</v>
      </c>
      <c r="C750" t="s">
        <v>40</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37</v>
      </c>
      <c r="C752" t="s">
        <v>40</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37</v>
      </c>
      <c r="C753" t="s">
        <v>40</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37</v>
      </c>
      <c r="C754" t="s">
        <v>40</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38</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37</v>
      </c>
      <c r="C757" t="s">
        <v>40</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37</v>
      </c>
      <c r="C758" t="s">
        <v>40</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38</v>
      </c>
      <c r="C759" t="s">
        <v>40</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38</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38</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38</v>
      </c>
      <c r="C762" t="s">
        <v>40</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37</v>
      </c>
      <c r="C763" t="s">
        <v>39</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38</v>
      </c>
      <c r="C764" t="s">
        <v>40</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37</v>
      </c>
      <c r="C765" t="s">
        <v>40</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38</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37</v>
      </c>
      <c r="C768" t="s">
        <v>40</v>
      </c>
      <c r="D768" s="3">
        <v>50000</v>
      </c>
      <c r="E768">
        <v>4</v>
      </c>
      <c r="F768" t="s">
        <v>13</v>
      </c>
      <c r="G768" t="s">
        <v>14</v>
      </c>
      <c r="H768" t="s">
        <v>15</v>
      </c>
      <c r="I768">
        <v>3</v>
      </c>
      <c r="J768" t="s">
        <v>47</v>
      </c>
      <c r="K768" t="s">
        <v>32</v>
      </c>
      <c r="L768">
        <v>42</v>
      </c>
      <c r="M768" t="str">
        <f t="shared" si="11"/>
        <v>Middle Age</v>
      </c>
      <c r="N768" t="s">
        <v>18</v>
      </c>
    </row>
    <row r="769" spans="1:14" x14ac:dyDescent="0.35">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37</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37</v>
      </c>
      <c r="C771" t="s">
        <v>39</v>
      </c>
      <c r="D771" s="3">
        <v>100000</v>
      </c>
      <c r="E771">
        <v>4</v>
      </c>
      <c r="F771" t="s">
        <v>13</v>
      </c>
      <c r="G771" t="s">
        <v>28</v>
      </c>
      <c r="H771" t="s">
        <v>15</v>
      </c>
      <c r="I771">
        <v>4</v>
      </c>
      <c r="J771" t="s">
        <v>16</v>
      </c>
      <c r="K771" t="s">
        <v>32</v>
      </c>
      <c r="L771">
        <v>40</v>
      </c>
      <c r="M771" t="str">
        <f t="shared" ref="M771:M834" si="12">IF(L771&gt;55,"Old",IF(L771&gt;=31, "Middle Age",IF(L771&lt;31, "Adolescent","Invalid")))</f>
        <v>Middle Age</v>
      </c>
      <c r="N771" t="s">
        <v>18</v>
      </c>
    </row>
    <row r="772" spans="1:14" x14ac:dyDescent="0.35">
      <c r="A772">
        <v>17699</v>
      </c>
      <c r="B772" t="s">
        <v>37</v>
      </c>
      <c r="C772" t="s">
        <v>40</v>
      </c>
      <c r="D772" s="3">
        <v>60000</v>
      </c>
      <c r="E772">
        <v>1</v>
      </c>
      <c r="F772" t="s">
        <v>31</v>
      </c>
      <c r="G772" t="s">
        <v>14</v>
      </c>
      <c r="H772" t="s">
        <v>18</v>
      </c>
      <c r="I772">
        <v>0</v>
      </c>
      <c r="J772" t="s">
        <v>16</v>
      </c>
      <c r="K772" t="s">
        <v>32</v>
      </c>
      <c r="L772">
        <v>55</v>
      </c>
      <c r="M772" t="str">
        <f t="shared" si="12"/>
        <v>Middle Age</v>
      </c>
      <c r="N772" t="s">
        <v>18</v>
      </c>
    </row>
    <row r="773" spans="1:14" x14ac:dyDescent="0.35">
      <c r="A773">
        <v>14657</v>
      </c>
      <c r="B773" t="s">
        <v>37</v>
      </c>
      <c r="C773" t="s">
        <v>40</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38</v>
      </c>
      <c r="C774" t="s">
        <v>40</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37</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37</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37</v>
      </c>
      <c r="C777" t="s">
        <v>40</v>
      </c>
      <c r="D777" s="3">
        <v>70000</v>
      </c>
      <c r="E777">
        <v>2</v>
      </c>
      <c r="F777" t="s">
        <v>29</v>
      </c>
      <c r="G777" t="s">
        <v>14</v>
      </c>
      <c r="H777" t="s">
        <v>15</v>
      </c>
      <c r="I777">
        <v>2</v>
      </c>
      <c r="J777" t="s">
        <v>47</v>
      </c>
      <c r="K777" t="s">
        <v>32</v>
      </c>
      <c r="L777">
        <v>54</v>
      </c>
      <c r="M777" t="str">
        <f t="shared" si="12"/>
        <v>Middle Age</v>
      </c>
      <c r="N777" t="s">
        <v>18</v>
      </c>
    </row>
    <row r="778" spans="1:14" x14ac:dyDescent="0.35">
      <c r="A778">
        <v>26490</v>
      </c>
      <c r="B778" t="s">
        <v>38</v>
      </c>
      <c r="C778" t="s">
        <v>40</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38</v>
      </c>
      <c r="C779" t="s">
        <v>40</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37</v>
      </c>
      <c r="C780" t="s">
        <v>40</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37</v>
      </c>
      <c r="C781" t="s">
        <v>40</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37</v>
      </c>
      <c r="C782" t="s">
        <v>39</v>
      </c>
      <c r="D782" s="3">
        <v>60000</v>
      </c>
      <c r="E782">
        <v>2</v>
      </c>
      <c r="F782" t="s">
        <v>19</v>
      </c>
      <c r="G782" t="s">
        <v>21</v>
      </c>
      <c r="H782" t="s">
        <v>15</v>
      </c>
      <c r="I782">
        <v>1</v>
      </c>
      <c r="J782" t="s">
        <v>47</v>
      </c>
      <c r="K782" t="s">
        <v>32</v>
      </c>
      <c r="L782">
        <v>55</v>
      </c>
      <c r="M782" t="str">
        <f t="shared" si="12"/>
        <v>Middle Age</v>
      </c>
      <c r="N782" t="s">
        <v>18</v>
      </c>
    </row>
    <row r="783" spans="1:14" x14ac:dyDescent="0.35">
      <c r="A783">
        <v>19660</v>
      </c>
      <c r="B783" t="s">
        <v>37</v>
      </c>
      <c r="C783" t="s">
        <v>40</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38</v>
      </c>
      <c r="C784" t="s">
        <v>40</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37</v>
      </c>
      <c r="C785" t="s">
        <v>40</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38</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38</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37</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38</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37</v>
      </c>
      <c r="C791" t="s">
        <v>40</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38</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37</v>
      </c>
      <c r="C793" t="s">
        <v>40</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38</v>
      </c>
      <c r="C794" t="s">
        <v>40</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37</v>
      </c>
      <c r="C795" t="s">
        <v>40</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37</v>
      </c>
      <c r="C796" t="s">
        <v>40</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38</v>
      </c>
      <c r="C797" t="s">
        <v>40</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37</v>
      </c>
      <c r="C798" t="s">
        <v>40</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38</v>
      </c>
      <c r="C799" t="s">
        <v>40</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38</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38</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38</v>
      </c>
      <c r="C802" t="s">
        <v>40</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37</v>
      </c>
      <c r="C803" t="s">
        <v>40</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37</v>
      </c>
      <c r="C804" t="s">
        <v>40</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37</v>
      </c>
      <c r="C805" t="s">
        <v>40</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37</v>
      </c>
      <c r="C806" t="s">
        <v>40</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38</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37</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38</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38</v>
      </c>
      <c r="C810" t="s">
        <v>40</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38</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37</v>
      </c>
      <c r="C813" t="s">
        <v>40</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38</v>
      </c>
      <c r="C814" t="s">
        <v>39</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37</v>
      </c>
      <c r="C815" t="s">
        <v>39</v>
      </c>
      <c r="D815" s="3">
        <v>70000</v>
      </c>
      <c r="E815">
        <v>2</v>
      </c>
      <c r="F815" t="s">
        <v>27</v>
      </c>
      <c r="G815" t="s">
        <v>21</v>
      </c>
      <c r="H815" t="s">
        <v>15</v>
      </c>
      <c r="I815">
        <v>2</v>
      </c>
      <c r="J815" t="s">
        <v>47</v>
      </c>
      <c r="K815" t="s">
        <v>32</v>
      </c>
      <c r="L815">
        <v>53</v>
      </c>
      <c r="M815" t="str">
        <f t="shared" si="12"/>
        <v>Middle Age</v>
      </c>
      <c r="N815" t="s">
        <v>18</v>
      </c>
    </row>
    <row r="816" spans="1:14" x14ac:dyDescent="0.35">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37</v>
      </c>
      <c r="C817" t="s">
        <v>40</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37</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37</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37</v>
      </c>
      <c r="C820" t="s">
        <v>40</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38</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38</v>
      </c>
      <c r="C822" t="s">
        <v>40</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37</v>
      </c>
      <c r="C823" t="s">
        <v>40</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37</v>
      </c>
      <c r="C824" t="s">
        <v>40</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38</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38</v>
      </c>
      <c r="C826" t="s">
        <v>40</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37</v>
      </c>
      <c r="C827" t="s">
        <v>40</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37</v>
      </c>
      <c r="C828" t="s">
        <v>40</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38</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38</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38</v>
      </c>
      <c r="C831" t="s">
        <v>40</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37</v>
      </c>
      <c r="C832" t="s">
        <v>40</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37</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37</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38</v>
      </c>
      <c r="C835" t="s">
        <v>39</v>
      </c>
      <c r="D835" s="3">
        <v>70000</v>
      </c>
      <c r="E835">
        <v>0</v>
      </c>
      <c r="F835" t="s">
        <v>13</v>
      </c>
      <c r="G835" t="s">
        <v>21</v>
      </c>
      <c r="H835" t="s">
        <v>18</v>
      </c>
      <c r="I835">
        <v>1</v>
      </c>
      <c r="J835" t="s">
        <v>16</v>
      </c>
      <c r="K835" t="s">
        <v>32</v>
      </c>
      <c r="L835">
        <v>37</v>
      </c>
      <c r="M835" t="str">
        <f t="shared" ref="M835:M898" si="13">IF(L835&gt;55,"Old",IF(L835&gt;=31, "Middle Age",IF(L835&lt;31, "Adolescent","Invalid")))</f>
        <v>Middle Age</v>
      </c>
      <c r="N835" t="s">
        <v>15</v>
      </c>
    </row>
    <row r="836" spans="1:14" x14ac:dyDescent="0.35">
      <c r="A836">
        <v>19889</v>
      </c>
      <c r="B836" t="s">
        <v>38</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38</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37</v>
      </c>
      <c r="C839" t="s">
        <v>40</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38</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38</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37</v>
      </c>
      <c r="C842" t="s">
        <v>40</v>
      </c>
      <c r="D842" s="3">
        <v>70000</v>
      </c>
      <c r="E842">
        <v>4</v>
      </c>
      <c r="F842" t="s">
        <v>19</v>
      </c>
      <c r="G842" t="s">
        <v>21</v>
      </c>
      <c r="H842" t="s">
        <v>15</v>
      </c>
      <c r="I842">
        <v>2</v>
      </c>
      <c r="J842" t="s">
        <v>47</v>
      </c>
      <c r="K842" t="s">
        <v>32</v>
      </c>
      <c r="L842">
        <v>53</v>
      </c>
      <c r="M842" t="str">
        <f t="shared" si="13"/>
        <v>Middle Age</v>
      </c>
      <c r="N842" t="s">
        <v>18</v>
      </c>
    </row>
    <row r="843" spans="1:14" x14ac:dyDescent="0.35">
      <c r="A843">
        <v>12056</v>
      </c>
      <c r="B843" t="s">
        <v>37</v>
      </c>
      <c r="C843" t="s">
        <v>40</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37</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38</v>
      </c>
      <c r="C845" t="s">
        <v>40</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37</v>
      </c>
      <c r="C846" t="s">
        <v>39</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38</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38</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38</v>
      </c>
      <c r="C850" t="s">
        <v>40</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37</v>
      </c>
      <c r="C853" t="s">
        <v>40</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38</v>
      </c>
      <c r="C854" t="s">
        <v>40</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38</v>
      </c>
      <c r="C855" t="s">
        <v>40</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37</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38</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38</v>
      </c>
      <c r="C858" t="s">
        <v>40</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37</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37</v>
      </c>
      <c r="C860" t="s">
        <v>40</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37</v>
      </c>
      <c r="C861" t="s">
        <v>40</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38</v>
      </c>
      <c r="C862" t="s">
        <v>40</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37</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37</v>
      </c>
      <c r="C864" t="s">
        <v>40</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38</v>
      </c>
      <c r="C865" t="s">
        <v>40</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38</v>
      </c>
      <c r="C866" t="s">
        <v>40</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38</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37</v>
      </c>
      <c r="C868" t="s">
        <v>40</v>
      </c>
      <c r="D868" s="3">
        <v>60000</v>
      </c>
      <c r="E868">
        <v>2</v>
      </c>
      <c r="F868" t="s">
        <v>27</v>
      </c>
      <c r="G868" t="s">
        <v>21</v>
      </c>
      <c r="H868" t="s">
        <v>15</v>
      </c>
      <c r="I868">
        <v>2</v>
      </c>
      <c r="J868" t="s">
        <v>47</v>
      </c>
      <c r="K868" t="s">
        <v>32</v>
      </c>
      <c r="L868">
        <v>55</v>
      </c>
      <c r="M868" t="str">
        <f t="shared" si="13"/>
        <v>Middle Age</v>
      </c>
      <c r="N868" t="s">
        <v>18</v>
      </c>
    </row>
    <row r="869" spans="1:14" x14ac:dyDescent="0.35">
      <c r="A869">
        <v>26693</v>
      </c>
      <c r="B869" t="s">
        <v>37</v>
      </c>
      <c r="C869" t="s">
        <v>40</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38</v>
      </c>
      <c r="C870" t="s">
        <v>40</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38</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37</v>
      </c>
      <c r="C872" t="s">
        <v>40</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37</v>
      </c>
      <c r="C873" t="s">
        <v>40</v>
      </c>
      <c r="D873" s="3">
        <v>60000</v>
      </c>
      <c r="E873">
        <v>2</v>
      </c>
      <c r="F873" t="s">
        <v>27</v>
      </c>
      <c r="G873" t="s">
        <v>21</v>
      </c>
      <c r="H873" t="s">
        <v>15</v>
      </c>
      <c r="I873">
        <v>2</v>
      </c>
      <c r="J873" t="s">
        <v>47</v>
      </c>
      <c r="K873" t="s">
        <v>32</v>
      </c>
      <c r="L873">
        <v>55</v>
      </c>
      <c r="M873" t="str">
        <f t="shared" si="13"/>
        <v>Middle Age</v>
      </c>
      <c r="N873" t="s">
        <v>18</v>
      </c>
    </row>
    <row r="874" spans="1:14" x14ac:dyDescent="0.35">
      <c r="A874">
        <v>22118</v>
      </c>
      <c r="B874" t="s">
        <v>38</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37</v>
      </c>
      <c r="C875" t="s">
        <v>40</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37</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38</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38</v>
      </c>
      <c r="C878" t="s">
        <v>40</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37</v>
      </c>
      <c r="C879" t="s">
        <v>40</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37</v>
      </c>
      <c r="C880" t="s">
        <v>40</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37</v>
      </c>
      <c r="C881" t="s">
        <v>40</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37</v>
      </c>
      <c r="C882" t="s">
        <v>40</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37</v>
      </c>
      <c r="C884" t="s">
        <v>40</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37</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37</v>
      </c>
      <c r="C886" t="s">
        <v>40</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37</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37</v>
      </c>
      <c r="C888" t="s">
        <v>40</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37</v>
      </c>
      <c r="C889" t="s">
        <v>40</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38</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37</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37</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38</v>
      </c>
      <c r="C893" t="s">
        <v>40</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38</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37</v>
      </c>
      <c r="C895" t="s">
        <v>40</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37</v>
      </c>
      <c r="C896" t="s">
        <v>40</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37</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37</v>
      </c>
      <c r="C899" t="s">
        <v>40</v>
      </c>
      <c r="D899" s="3">
        <v>30000</v>
      </c>
      <c r="E899">
        <v>0</v>
      </c>
      <c r="F899" t="s">
        <v>29</v>
      </c>
      <c r="G899" t="s">
        <v>20</v>
      </c>
      <c r="H899" t="s">
        <v>18</v>
      </c>
      <c r="I899">
        <v>2</v>
      </c>
      <c r="J899" t="s">
        <v>16</v>
      </c>
      <c r="K899" t="s">
        <v>32</v>
      </c>
      <c r="L899">
        <v>28</v>
      </c>
      <c r="M899" t="str">
        <f t="shared" ref="M899:M962" si="14">IF(L899&gt;55,"Old",IF(L899&gt;=31, "Middle Age",IF(L899&lt;31, "Adolescent","Invalid")))</f>
        <v>Adolescent</v>
      </c>
      <c r="N899" t="s">
        <v>18</v>
      </c>
    </row>
    <row r="900" spans="1:14" x14ac:dyDescent="0.35">
      <c r="A900">
        <v>18066</v>
      </c>
      <c r="B900" t="s">
        <v>38</v>
      </c>
      <c r="C900" t="s">
        <v>40</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37</v>
      </c>
      <c r="C901" t="s">
        <v>39</v>
      </c>
      <c r="D901" s="3">
        <v>70000</v>
      </c>
      <c r="E901">
        <v>5</v>
      </c>
      <c r="F901" t="s">
        <v>31</v>
      </c>
      <c r="G901" t="s">
        <v>21</v>
      </c>
      <c r="H901" t="s">
        <v>15</v>
      </c>
      <c r="I901">
        <v>3</v>
      </c>
      <c r="J901" t="s">
        <v>47</v>
      </c>
      <c r="K901" t="s">
        <v>32</v>
      </c>
      <c r="L901">
        <v>46</v>
      </c>
      <c r="M901" t="str">
        <f t="shared" si="14"/>
        <v>Middle Age</v>
      </c>
      <c r="N901" t="s">
        <v>18</v>
      </c>
    </row>
    <row r="902" spans="1:14" x14ac:dyDescent="0.35">
      <c r="A902">
        <v>16122</v>
      </c>
      <c r="B902" t="s">
        <v>37</v>
      </c>
      <c r="C902" t="s">
        <v>40</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38</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38</v>
      </c>
      <c r="C904" t="s">
        <v>40</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38</v>
      </c>
      <c r="C905" t="s">
        <v>40</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38</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38</v>
      </c>
      <c r="C907" t="s">
        <v>40</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37</v>
      </c>
      <c r="C908" t="s">
        <v>40</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37</v>
      </c>
      <c r="C909" t="s">
        <v>40</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38</v>
      </c>
      <c r="C910" t="s">
        <v>40</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37</v>
      </c>
      <c r="C911" t="s">
        <v>40</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37</v>
      </c>
      <c r="C912" t="s">
        <v>40</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37</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38</v>
      </c>
      <c r="C915" t="s">
        <v>40</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38</v>
      </c>
      <c r="C916" t="s">
        <v>40</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37</v>
      </c>
      <c r="C917" t="s">
        <v>40</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38</v>
      </c>
      <c r="C918" t="s">
        <v>40</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38</v>
      </c>
      <c r="C919" t="s">
        <v>40</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37</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37</v>
      </c>
      <c r="C921" t="s">
        <v>39</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37</v>
      </c>
      <c r="C922" t="s">
        <v>40</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38</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37</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38</v>
      </c>
      <c r="C925" t="s">
        <v>40</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38</v>
      </c>
      <c r="C926" t="s">
        <v>40</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38</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38</v>
      </c>
      <c r="C928" t="s">
        <v>39</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37</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37</v>
      </c>
      <c r="C930" t="s">
        <v>40</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37</v>
      </c>
      <c r="C931" t="s">
        <v>40</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37</v>
      </c>
      <c r="C932" t="s">
        <v>40</v>
      </c>
      <c r="D932" s="3">
        <v>70000</v>
      </c>
      <c r="E932">
        <v>5</v>
      </c>
      <c r="F932" t="s">
        <v>31</v>
      </c>
      <c r="G932" t="s">
        <v>21</v>
      </c>
      <c r="H932" t="s">
        <v>18</v>
      </c>
      <c r="I932">
        <v>3</v>
      </c>
      <c r="J932" t="s">
        <v>47</v>
      </c>
      <c r="K932" t="s">
        <v>32</v>
      </c>
      <c r="L932">
        <v>47</v>
      </c>
      <c r="M932" t="str">
        <f t="shared" si="14"/>
        <v>Middle Age</v>
      </c>
      <c r="N932" t="s">
        <v>18</v>
      </c>
    </row>
    <row r="933" spans="1:14" x14ac:dyDescent="0.35">
      <c r="A933">
        <v>14914</v>
      </c>
      <c r="B933" t="s">
        <v>37</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38</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38</v>
      </c>
      <c r="C935" t="s">
        <v>40</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37</v>
      </c>
      <c r="C936" t="s">
        <v>40</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37</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37</v>
      </c>
      <c r="C939" t="s">
        <v>40</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38</v>
      </c>
      <c r="C941" t="s">
        <v>40</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38</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37</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37</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37</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37</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38</v>
      </c>
      <c r="C947" t="s">
        <v>40</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38</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38</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37</v>
      </c>
      <c r="C951" t="s">
        <v>40</v>
      </c>
      <c r="D951" s="3">
        <v>70000</v>
      </c>
      <c r="E951">
        <v>2</v>
      </c>
      <c r="F951" t="s">
        <v>29</v>
      </c>
      <c r="G951" t="s">
        <v>14</v>
      </c>
      <c r="H951" t="s">
        <v>15</v>
      </c>
      <c r="I951">
        <v>2</v>
      </c>
      <c r="J951" t="s">
        <v>47</v>
      </c>
      <c r="K951" t="s">
        <v>32</v>
      </c>
      <c r="L951">
        <v>53</v>
      </c>
      <c r="M951" t="str">
        <f t="shared" si="14"/>
        <v>Middle Age</v>
      </c>
      <c r="N951" t="s">
        <v>18</v>
      </c>
    </row>
    <row r="952" spans="1:14" x14ac:dyDescent="0.35">
      <c r="A952">
        <v>11788</v>
      </c>
      <c r="B952" t="s">
        <v>38</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37</v>
      </c>
      <c r="C953" t="s">
        <v>40</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38</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37</v>
      </c>
      <c r="C956" t="s">
        <v>40</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37</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37</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37</v>
      </c>
      <c r="C960" t="s">
        <v>40</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37</v>
      </c>
      <c r="C961" t="s">
        <v>40</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38</v>
      </c>
      <c r="C962" t="s">
        <v>40</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37</v>
      </c>
      <c r="C963" t="s">
        <v>39</v>
      </c>
      <c r="D963" s="3">
        <v>120000</v>
      </c>
      <c r="E963">
        <v>2</v>
      </c>
      <c r="F963" t="s">
        <v>13</v>
      </c>
      <c r="G963" t="s">
        <v>28</v>
      </c>
      <c r="H963" t="s">
        <v>15</v>
      </c>
      <c r="I963">
        <v>3</v>
      </c>
      <c r="J963" t="s">
        <v>23</v>
      </c>
      <c r="K963" t="s">
        <v>32</v>
      </c>
      <c r="L963">
        <v>62</v>
      </c>
      <c r="M963" t="str">
        <f t="shared" ref="M963:M1001" si="15">IF(L963&gt;55,"Old",IF(L963&gt;=31, "Middle Age",IF(L963&lt;31, "Adolescent","Invalid")))</f>
        <v>Old</v>
      </c>
      <c r="N963" t="s">
        <v>18</v>
      </c>
    </row>
    <row r="964" spans="1:14" x14ac:dyDescent="0.35">
      <c r="A964">
        <v>16813</v>
      </c>
      <c r="B964" t="s">
        <v>37</v>
      </c>
      <c r="C964" t="s">
        <v>40</v>
      </c>
      <c r="D964" s="3">
        <v>60000</v>
      </c>
      <c r="E964">
        <v>2</v>
      </c>
      <c r="F964" t="s">
        <v>19</v>
      </c>
      <c r="G964" t="s">
        <v>21</v>
      </c>
      <c r="H964" t="s">
        <v>15</v>
      </c>
      <c r="I964">
        <v>2</v>
      </c>
      <c r="J964" t="s">
        <v>47</v>
      </c>
      <c r="K964" t="s">
        <v>32</v>
      </c>
      <c r="L964">
        <v>55</v>
      </c>
      <c r="M964" t="str">
        <f t="shared" si="15"/>
        <v>Middle Age</v>
      </c>
      <c r="N964" t="s">
        <v>18</v>
      </c>
    </row>
    <row r="965" spans="1:14" x14ac:dyDescent="0.35">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38</v>
      </c>
      <c r="C966" t="s">
        <v>40</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38</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37</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37</v>
      </c>
      <c r="C969" t="s">
        <v>40</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38</v>
      </c>
      <c r="C970" t="s">
        <v>40</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37</v>
      </c>
      <c r="C971" t="s">
        <v>40</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37</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38</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37</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37</v>
      </c>
      <c r="C975" t="s">
        <v>40</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37</v>
      </c>
      <c r="C976" t="s">
        <v>40</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37</v>
      </c>
      <c r="C977" t="s">
        <v>40</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37</v>
      </c>
      <c r="C978" t="s">
        <v>39</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37</v>
      </c>
      <c r="C980" t="s">
        <v>40</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38</v>
      </c>
      <c r="C981" t="s">
        <v>40</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38</v>
      </c>
      <c r="C982" t="s">
        <v>39</v>
      </c>
      <c r="D982" s="3">
        <v>80000</v>
      </c>
      <c r="E982">
        <v>3</v>
      </c>
      <c r="F982" t="s">
        <v>13</v>
      </c>
      <c r="G982" t="s">
        <v>14</v>
      </c>
      <c r="H982" t="s">
        <v>15</v>
      </c>
      <c r="I982">
        <v>3</v>
      </c>
      <c r="J982" t="s">
        <v>47</v>
      </c>
      <c r="K982" t="s">
        <v>32</v>
      </c>
      <c r="L982">
        <v>40</v>
      </c>
      <c r="M982" t="str">
        <f t="shared" si="15"/>
        <v>Middle Age</v>
      </c>
      <c r="N982" t="s">
        <v>15</v>
      </c>
    </row>
    <row r="983" spans="1:14" x14ac:dyDescent="0.35">
      <c r="A983">
        <v>15982</v>
      </c>
      <c r="B983" t="s">
        <v>37</v>
      </c>
      <c r="C983" t="s">
        <v>40</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38</v>
      </c>
      <c r="C984" t="s">
        <v>40</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37</v>
      </c>
      <c r="C985" t="s">
        <v>40</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37</v>
      </c>
      <c r="C986" t="s">
        <v>40</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38</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38</v>
      </c>
      <c r="C988" t="s">
        <v>40</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38</v>
      </c>
      <c r="C989" t="s">
        <v>39</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37</v>
      </c>
      <c r="C990" t="s">
        <v>40</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37</v>
      </c>
      <c r="C991" t="s">
        <v>40</v>
      </c>
      <c r="D991" s="3">
        <v>60000</v>
      </c>
      <c r="E991">
        <v>4</v>
      </c>
      <c r="F991" t="s">
        <v>13</v>
      </c>
      <c r="G991" t="s">
        <v>14</v>
      </c>
      <c r="H991" t="s">
        <v>18</v>
      </c>
      <c r="I991">
        <v>3</v>
      </c>
      <c r="J991" t="s">
        <v>47</v>
      </c>
      <c r="K991" t="s">
        <v>32</v>
      </c>
      <c r="L991">
        <v>42</v>
      </c>
      <c r="M991" t="str">
        <f t="shared" si="15"/>
        <v>Middle Age</v>
      </c>
      <c r="N991" t="s">
        <v>18</v>
      </c>
    </row>
    <row r="992" spans="1:14" x14ac:dyDescent="0.35">
      <c r="A992">
        <v>14332</v>
      </c>
      <c r="B992" t="s">
        <v>38</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38</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37</v>
      </c>
      <c r="C994" t="s">
        <v>40</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38</v>
      </c>
      <c r="C995" t="s">
        <v>40</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37</v>
      </c>
      <c r="C996" t="s">
        <v>40</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37</v>
      </c>
      <c r="C997" t="s">
        <v>40</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38</v>
      </c>
      <c r="C998" t="s">
        <v>40</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37</v>
      </c>
      <c r="C999" t="s">
        <v>40</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38</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38</v>
      </c>
      <c r="C1001" t="s">
        <v>40</v>
      </c>
      <c r="D1001" s="3">
        <v>60000</v>
      </c>
      <c r="E1001">
        <v>3</v>
      </c>
      <c r="F1001" t="s">
        <v>27</v>
      </c>
      <c r="G1001" t="s">
        <v>21</v>
      </c>
      <c r="H1001" t="s">
        <v>15</v>
      </c>
      <c r="I1001">
        <v>2</v>
      </c>
      <c r="J1001" t="s">
        <v>47</v>
      </c>
      <c r="K1001" t="s">
        <v>32</v>
      </c>
      <c r="L1001">
        <v>53</v>
      </c>
      <c r="M1001" t="str">
        <f t="shared" si="15"/>
        <v>Middle Age</v>
      </c>
      <c r="N1001" t="s">
        <v>15</v>
      </c>
    </row>
  </sheetData>
  <autoFilter ref="A1:O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23A8-6E37-45A5-AEFB-A9BC7CEDEE8A}">
  <dimension ref="A16:S21"/>
  <sheetViews>
    <sheetView showGridLines="0" tabSelected="1" topLeftCell="A16" zoomScale="75" workbookViewId="0">
      <selection activeCell="A16" sqref="A16:S21"/>
    </sheetView>
  </sheetViews>
  <sheetFormatPr defaultRowHeight="14.5" x14ac:dyDescent="0.35"/>
  <sheetData>
    <row r="16" spans="1:19" ht="14.5" customHeight="1" x14ac:dyDescent="0.35">
      <c r="A16" s="7" t="s">
        <v>51</v>
      </c>
      <c r="B16" s="7"/>
      <c r="C16" s="7"/>
      <c r="D16" s="7"/>
      <c r="E16" s="7"/>
      <c r="F16" s="7"/>
      <c r="G16" s="7"/>
      <c r="H16" s="7"/>
      <c r="I16" s="7"/>
      <c r="J16" s="7"/>
      <c r="K16" s="7"/>
      <c r="L16" s="7"/>
      <c r="M16" s="7"/>
      <c r="N16" s="7"/>
      <c r="O16" s="7"/>
      <c r="P16" s="7"/>
      <c r="Q16" s="7"/>
      <c r="R16" s="7"/>
      <c r="S16" s="7"/>
    </row>
    <row r="17" spans="1:19" ht="14.5" customHeight="1" x14ac:dyDescent="0.35">
      <c r="A17" s="7"/>
      <c r="B17" s="7"/>
      <c r="C17" s="7"/>
      <c r="D17" s="7"/>
      <c r="E17" s="7"/>
      <c r="F17" s="7"/>
      <c r="G17" s="7"/>
      <c r="H17" s="7"/>
      <c r="I17" s="7"/>
      <c r="J17" s="7"/>
      <c r="K17" s="7"/>
      <c r="L17" s="7"/>
      <c r="M17" s="7"/>
      <c r="N17" s="7"/>
      <c r="O17" s="7"/>
      <c r="P17" s="7"/>
      <c r="Q17" s="7"/>
      <c r="R17" s="7"/>
      <c r="S17" s="7"/>
    </row>
    <row r="18" spans="1:19" ht="14.5" customHeight="1" x14ac:dyDescent="0.35">
      <c r="A18" s="7"/>
      <c r="B18" s="7"/>
      <c r="C18" s="7"/>
      <c r="D18" s="7"/>
      <c r="E18" s="7"/>
      <c r="F18" s="7"/>
      <c r="G18" s="7"/>
      <c r="H18" s="7"/>
      <c r="I18" s="7"/>
      <c r="J18" s="7"/>
      <c r="K18" s="7"/>
      <c r="L18" s="7"/>
      <c r="M18" s="7"/>
      <c r="N18" s="7"/>
      <c r="O18" s="7"/>
      <c r="P18" s="7"/>
      <c r="Q18" s="7"/>
      <c r="R18" s="7"/>
      <c r="S18" s="7"/>
    </row>
    <row r="19" spans="1:19" ht="14.5" customHeight="1" x14ac:dyDescent="0.35">
      <c r="A19" s="7"/>
      <c r="B19" s="7"/>
      <c r="C19" s="7"/>
      <c r="D19" s="7"/>
      <c r="E19" s="7"/>
      <c r="F19" s="7"/>
      <c r="G19" s="7"/>
      <c r="H19" s="7"/>
      <c r="I19" s="7"/>
      <c r="J19" s="7"/>
      <c r="K19" s="7"/>
      <c r="L19" s="7"/>
      <c r="M19" s="7"/>
      <c r="N19" s="7"/>
      <c r="O19" s="7"/>
      <c r="P19" s="7"/>
      <c r="Q19" s="7"/>
      <c r="R19" s="7"/>
      <c r="S19" s="7"/>
    </row>
    <row r="20" spans="1:19" ht="14.5" customHeight="1" x14ac:dyDescent="0.35">
      <c r="A20" s="7"/>
      <c r="B20" s="7"/>
      <c r="C20" s="7"/>
      <c r="D20" s="7"/>
      <c r="E20" s="7"/>
      <c r="F20" s="7"/>
      <c r="G20" s="7"/>
      <c r="H20" s="7"/>
      <c r="I20" s="7"/>
      <c r="J20" s="7"/>
      <c r="K20" s="7"/>
      <c r="L20" s="7"/>
      <c r="M20" s="7"/>
      <c r="N20" s="7"/>
      <c r="O20" s="7"/>
      <c r="P20" s="7"/>
      <c r="Q20" s="7"/>
      <c r="R20" s="7"/>
      <c r="S20" s="7"/>
    </row>
    <row r="21" spans="1:19" ht="14.5" customHeight="1" x14ac:dyDescent="0.35">
      <c r="A21" s="7"/>
      <c r="B21" s="7"/>
      <c r="C21" s="7"/>
      <c r="D21" s="7"/>
      <c r="E21" s="7"/>
      <c r="F21" s="7"/>
      <c r="G21" s="7"/>
      <c r="H21" s="7"/>
      <c r="I21" s="7"/>
      <c r="J21" s="7"/>
      <c r="K21" s="7"/>
      <c r="L21" s="7"/>
      <c r="M21" s="7"/>
      <c r="N21" s="7"/>
      <c r="O21" s="7"/>
      <c r="P21" s="7"/>
      <c r="Q21" s="7"/>
      <c r="R21" s="7"/>
      <c r="S21" s="7"/>
    </row>
  </sheetData>
  <mergeCells count="1">
    <mergeCell ref="A16:S2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CDA35-0C71-4DC9-BFBF-6AEFAFC36A6A}">
  <dimension ref="A3:D108"/>
  <sheetViews>
    <sheetView zoomScale="65" workbookViewId="0">
      <selection activeCell="B65" sqref="B65"/>
    </sheetView>
  </sheetViews>
  <sheetFormatPr defaultRowHeight="14.5" x14ac:dyDescent="0.35"/>
  <cols>
    <col min="1" max="2" width="16.453125" bestFit="1" customWidth="1"/>
    <col min="3" max="3" width="8.08984375" bestFit="1" customWidth="1"/>
    <col min="4" max="4" width="10.7265625" bestFit="1" customWidth="1"/>
  </cols>
  <sheetData>
    <row r="3" spans="1:4" x14ac:dyDescent="0.35">
      <c r="A3" s="4" t="s">
        <v>44</v>
      </c>
      <c r="B3" s="4" t="s">
        <v>45</v>
      </c>
    </row>
    <row r="4" spans="1:4" x14ac:dyDescent="0.35">
      <c r="A4" s="4" t="s">
        <v>42</v>
      </c>
      <c r="B4" t="s">
        <v>18</v>
      </c>
      <c r="C4" t="s">
        <v>15</v>
      </c>
      <c r="D4" t="s">
        <v>43</v>
      </c>
    </row>
    <row r="5" spans="1:4" x14ac:dyDescent="0.35">
      <c r="A5" s="5" t="s">
        <v>39</v>
      </c>
      <c r="B5" s="3">
        <v>53440</v>
      </c>
      <c r="C5" s="3">
        <v>55774.058577405856</v>
      </c>
      <c r="D5" s="3">
        <v>54580.777096114522</v>
      </c>
    </row>
    <row r="6" spans="1:4" x14ac:dyDescent="0.35">
      <c r="A6" s="5" t="s">
        <v>40</v>
      </c>
      <c r="B6" s="3">
        <v>56208.178438661707</v>
      </c>
      <c r="C6" s="3">
        <v>60123.966942148763</v>
      </c>
      <c r="D6" s="3">
        <v>58062.62230919765</v>
      </c>
    </row>
    <row r="7" spans="1:4" x14ac:dyDescent="0.35">
      <c r="A7" s="5" t="s">
        <v>43</v>
      </c>
      <c r="B7" s="3">
        <v>54874.759152215796</v>
      </c>
      <c r="C7" s="3">
        <v>57962.577962577961</v>
      </c>
      <c r="D7" s="3">
        <v>56360</v>
      </c>
    </row>
    <row r="21" spans="1:4" x14ac:dyDescent="0.35">
      <c r="A21" s="4" t="s">
        <v>46</v>
      </c>
      <c r="B21" s="4" t="s">
        <v>45</v>
      </c>
    </row>
    <row r="22" spans="1:4" x14ac:dyDescent="0.35">
      <c r="A22" s="4" t="s">
        <v>42</v>
      </c>
      <c r="B22" t="s">
        <v>18</v>
      </c>
      <c r="C22" t="s">
        <v>15</v>
      </c>
      <c r="D22" t="s">
        <v>43</v>
      </c>
    </row>
    <row r="23" spans="1:4" x14ac:dyDescent="0.35">
      <c r="A23" s="5" t="s">
        <v>16</v>
      </c>
      <c r="B23" s="6">
        <v>166</v>
      </c>
      <c r="C23" s="6">
        <v>200</v>
      </c>
      <c r="D23" s="6">
        <v>366</v>
      </c>
    </row>
    <row r="24" spans="1:4" x14ac:dyDescent="0.35">
      <c r="A24" s="5" t="s">
        <v>26</v>
      </c>
      <c r="B24" s="6">
        <v>92</v>
      </c>
      <c r="C24" s="6">
        <v>77</v>
      </c>
      <c r="D24" s="6">
        <v>169</v>
      </c>
    </row>
    <row r="25" spans="1:4" x14ac:dyDescent="0.35">
      <c r="A25" s="5" t="s">
        <v>22</v>
      </c>
      <c r="B25" s="6">
        <v>67</v>
      </c>
      <c r="C25" s="6">
        <v>95</v>
      </c>
      <c r="D25" s="6">
        <v>162</v>
      </c>
    </row>
    <row r="26" spans="1:4" x14ac:dyDescent="0.35">
      <c r="A26" s="5" t="s">
        <v>23</v>
      </c>
      <c r="B26" s="6">
        <v>116</v>
      </c>
      <c r="C26" s="6">
        <v>76</v>
      </c>
      <c r="D26" s="6">
        <v>192</v>
      </c>
    </row>
    <row r="27" spans="1:4" x14ac:dyDescent="0.35">
      <c r="A27" s="5" t="s">
        <v>47</v>
      </c>
      <c r="B27" s="6">
        <v>78</v>
      </c>
      <c r="C27" s="6">
        <v>33</v>
      </c>
      <c r="D27" s="6">
        <v>111</v>
      </c>
    </row>
    <row r="28" spans="1:4" x14ac:dyDescent="0.35">
      <c r="A28" s="5" t="s">
        <v>43</v>
      </c>
      <c r="B28" s="6">
        <v>519</v>
      </c>
      <c r="C28" s="6">
        <v>481</v>
      </c>
      <c r="D28" s="6">
        <v>1000</v>
      </c>
    </row>
    <row r="39" spans="1:4" x14ac:dyDescent="0.35">
      <c r="A39" s="4" t="s">
        <v>46</v>
      </c>
      <c r="B39" s="4" t="s">
        <v>45</v>
      </c>
    </row>
    <row r="40" spans="1:4" x14ac:dyDescent="0.35">
      <c r="A40" s="4" t="s">
        <v>42</v>
      </c>
      <c r="B40" t="s">
        <v>18</v>
      </c>
      <c r="C40" t="s">
        <v>15</v>
      </c>
      <c r="D40" t="s">
        <v>43</v>
      </c>
    </row>
    <row r="41" spans="1:4" x14ac:dyDescent="0.35">
      <c r="A41" s="5" t="s">
        <v>48</v>
      </c>
      <c r="B41" s="6">
        <v>71</v>
      </c>
      <c r="C41" s="6">
        <v>39</v>
      </c>
      <c r="D41" s="6">
        <v>110</v>
      </c>
    </row>
    <row r="42" spans="1:4" x14ac:dyDescent="0.35">
      <c r="A42" s="5" t="s">
        <v>49</v>
      </c>
      <c r="B42" s="6">
        <v>331</v>
      </c>
      <c r="C42" s="6">
        <v>388</v>
      </c>
      <c r="D42" s="6">
        <v>719</v>
      </c>
    </row>
    <row r="43" spans="1:4" x14ac:dyDescent="0.35">
      <c r="A43" s="5" t="s">
        <v>50</v>
      </c>
      <c r="B43" s="6">
        <v>117</v>
      </c>
      <c r="C43" s="6">
        <v>54</v>
      </c>
      <c r="D43" s="6">
        <v>171</v>
      </c>
    </row>
    <row r="44" spans="1:4" x14ac:dyDescent="0.35">
      <c r="A44" s="5" t="s">
        <v>43</v>
      </c>
      <c r="B44" s="6">
        <v>519</v>
      </c>
      <c r="C44" s="6">
        <v>481</v>
      </c>
      <c r="D44" s="6">
        <v>1000</v>
      </c>
    </row>
    <row r="53" spans="1:4" x14ac:dyDescent="0.35">
      <c r="A53" s="4" t="s">
        <v>46</v>
      </c>
      <c r="B53" s="4" t="s">
        <v>45</v>
      </c>
    </row>
    <row r="54" spans="1:4" x14ac:dyDescent="0.35">
      <c r="A54" s="4" t="s">
        <v>42</v>
      </c>
      <c r="B54" t="s">
        <v>18</v>
      </c>
      <c r="C54" t="s">
        <v>15</v>
      </c>
      <c r="D54" t="s">
        <v>43</v>
      </c>
    </row>
    <row r="55" spans="1:4" x14ac:dyDescent="0.35">
      <c r="A55" s="5">
        <v>25</v>
      </c>
      <c r="B55" s="6">
        <v>2</v>
      </c>
      <c r="C55" s="6">
        <v>4</v>
      </c>
      <c r="D55" s="6">
        <v>6</v>
      </c>
    </row>
    <row r="56" spans="1:4" x14ac:dyDescent="0.35">
      <c r="A56" s="5">
        <v>26</v>
      </c>
      <c r="B56" s="6">
        <v>8</v>
      </c>
      <c r="C56" s="6">
        <v>8</v>
      </c>
      <c r="D56" s="6">
        <v>16</v>
      </c>
    </row>
    <row r="57" spans="1:4" x14ac:dyDescent="0.35">
      <c r="A57" s="5">
        <v>27</v>
      </c>
      <c r="B57" s="6">
        <v>15</v>
      </c>
      <c r="C57" s="6">
        <v>8</v>
      </c>
      <c r="D57" s="6">
        <v>23</v>
      </c>
    </row>
    <row r="58" spans="1:4" x14ac:dyDescent="0.35">
      <c r="A58" s="5">
        <v>28</v>
      </c>
      <c r="B58" s="6">
        <v>12</v>
      </c>
      <c r="C58" s="6">
        <v>10</v>
      </c>
      <c r="D58" s="6">
        <v>22</v>
      </c>
    </row>
    <row r="59" spans="1:4" x14ac:dyDescent="0.35">
      <c r="A59" s="5">
        <v>29</v>
      </c>
      <c r="B59" s="6">
        <v>11</v>
      </c>
      <c r="C59" s="6">
        <v>5</v>
      </c>
      <c r="D59" s="6">
        <v>16</v>
      </c>
    </row>
    <row r="60" spans="1:4" x14ac:dyDescent="0.35">
      <c r="A60" s="5">
        <v>30</v>
      </c>
      <c r="B60" s="6">
        <v>23</v>
      </c>
      <c r="C60" s="6">
        <v>4</v>
      </c>
      <c r="D60" s="6">
        <v>27</v>
      </c>
    </row>
    <row r="61" spans="1:4" x14ac:dyDescent="0.35">
      <c r="A61" s="5">
        <v>31</v>
      </c>
      <c r="B61" s="6">
        <v>17</v>
      </c>
      <c r="C61" s="6">
        <v>8</v>
      </c>
      <c r="D61" s="6">
        <v>25</v>
      </c>
    </row>
    <row r="62" spans="1:4" x14ac:dyDescent="0.35">
      <c r="A62" s="5">
        <v>32</v>
      </c>
      <c r="B62" s="6">
        <v>19</v>
      </c>
      <c r="C62" s="6">
        <v>14</v>
      </c>
      <c r="D62" s="6">
        <v>33</v>
      </c>
    </row>
    <row r="63" spans="1:4" x14ac:dyDescent="0.35">
      <c r="A63" s="5">
        <v>33</v>
      </c>
      <c r="B63" s="6">
        <v>8</v>
      </c>
      <c r="C63" s="6">
        <v>13</v>
      </c>
      <c r="D63" s="6">
        <v>21</v>
      </c>
    </row>
    <row r="64" spans="1:4" x14ac:dyDescent="0.35">
      <c r="A64" s="5">
        <v>34</v>
      </c>
      <c r="B64" s="6">
        <v>12</v>
      </c>
      <c r="C64" s="6">
        <v>19</v>
      </c>
      <c r="D64" s="6">
        <v>31</v>
      </c>
    </row>
    <row r="65" spans="1:4" x14ac:dyDescent="0.35">
      <c r="A65" s="5">
        <v>35</v>
      </c>
      <c r="B65" s="6">
        <v>14</v>
      </c>
      <c r="C65" s="6">
        <v>22</v>
      </c>
      <c r="D65" s="6">
        <v>36</v>
      </c>
    </row>
    <row r="66" spans="1:4" x14ac:dyDescent="0.35">
      <c r="A66" s="5">
        <v>36</v>
      </c>
      <c r="B66" s="6">
        <v>7</v>
      </c>
      <c r="C66" s="6">
        <v>30</v>
      </c>
      <c r="D66" s="6">
        <v>37</v>
      </c>
    </row>
    <row r="67" spans="1:4" x14ac:dyDescent="0.35">
      <c r="A67" s="5">
        <v>37</v>
      </c>
      <c r="B67" s="6">
        <v>4</v>
      </c>
      <c r="C67" s="6">
        <v>28</v>
      </c>
      <c r="D67" s="6">
        <v>32</v>
      </c>
    </row>
    <row r="68" spans="1:4" x14ac:dyDescent="0.35">
      <c r="A68" s="5">
        <v>38</v>
      </c>
      <c r="B68" s="6">
        <v>8</v>
      </c>
      <c r="C68" s="6">
        <v>29</v>
      </c>
      <c r="D68" s="6">
        <v>37</v>
      </c>
    </row>
    <row r="69" spans="1:4" x14ac:dyDescent="0.35">
      <c r="A69" s="5">
        <v>39</v>
      </c>
      <c r="B69" s="6">
        <v>10</v>
      </c>
      <c r="C69" s="6">
        <v>12</v>
      </c>
      <c r="D69" s="6">
        <v>22</v>
      </c>
    </row>
    <row r="70" spans="1:4" x14ac:dyDescent="0.35">
      <c r="A70" s="5">
        <v>40</v>
      </c>
      <c r="B70" s="6">
        <v>24</v>
      </c>
      <c r="C70" s="6">
        <v>18</v>
      </c>
      <c r="D70" s="6">
        <v>42</v>
      </c>
    </row>
    <row r="71" spans="1:4" x14ac:dyDescent="0.35">
      <c r="A71" s="5">
        <v>41</v>
      </c>
      <c r="B71" s="6">
        <v>13</v>
      </c>
      <c r="C71" s="6">
        <v>15</v>
      </c>
      <c r="D71" s="6">
        <v>28</v>
      </c>
    </row>
    <row r="72" spans="1:4" x14ac:dyDescent="0.35">
      <c r="A72" s="5">
        <v>42</v>
      </c>
      <c r="B72" s="6">
        <v>22</v>
      </c>
      <c r="C72" s="6">
        <v>12</v>
      </c>
      <c r="D72" s="6">
        <v>34</v>
      </c>
    </row>
    <row r="73" spans="1:4" x14ac:dyDescent="0.35">
      <c r="A73" s="5">
        <v>43</v>
      </c>
      <c r="B73" s="6">
        <v>17</v>
      </c>
      <c r="C73" s="6">
        <v>19</v>
      </c>
      <c r="D73" s="6">
        <v>36</v>
      </c>
    </row>
    <row r="74" spans="1:4" x14ac:dyDescent="0.35">
      <c r="A74" s="5">
        <v>44</v>
      </c>
      <c r="B74" s="6">
        <v>15</v>
      </c>
      <c r="C74" s="6">
        <v>12</v>
      </c>
      <c r="D74" s="6">
        <v>27</v>
      </c>
    </row>
    <row r="75" spans="1:4" x14ac:dyDescent="0.35">
      <c r="A75" s="5">
        <v>45</v>
      </c>
      <c r="B75" s="6">
        <v>18</v>
      </c>
      <c r="C75" s="6">
        <v>13</v>
      </c>
      <c r="D75" s="6">
        <v>31</v>
      </c>
    </row>
    <row r="76" spans="1:4" x14ac:dyDescent="0.35">
      <c r="A76" s="5">
        <v>46</v>
      </c>
      <c r="B76" s="6">
        <v>12</v>
      </c>
      <c r="C76" s="6">
        <v>15</v>
      </c>
      <c r="D76" s="6">
        <v>27</v>
      </c>
    </row>
    <row r="77" spans="1:4" x14ac:dyDescent="0.35">
      <c r="A77" s="5">
        <v>47</v>
      </c>
      <c r="B77" s="6">
        <v>19</v>
      </c>
      <c r="C77" s="6">
        <v>20</v>
      </c>
      <c r="D77" s="6">
        <v>39</v>
      </c>
    </row>
    <row r="78" spans="1:4" x14ac:dyDescent="0.35">
      <c r="A78" s="5">
        <v>48</v>
      </c>
      <c r="B78" s="6">
        <v>16</v>
      </c>
      <c r="C78" s="6">
        <v>13</v>
      </c>
      <c r="D78" s="6">
        <v>29</v>
      </c>
    </row>
    <row r="79" spans="1:4" x14ac:dyDescent="0.35">
      <c r="A79" s="5">
        <v>49</v>
      </c>
      <c r="B79" s="6">
        <v>15</v>
      </c>
      <c r="C79" s="6">
        <v>8</v>
      </c>
      <c r="D79" s="6">
        <v>23</v>
      </c>
    </row>
    <row r="80" spans="1:4" x14ac:dyDescent="0.35">
      <c r="A80" s="5">
        <v>50</v>
      </c>
      <c r="B80" s="6">
        <v>12</v>
      </c>
      <c r="C80" s="6">
        <v>12</v>
      </c>
      <c r="D80" s="6">
        <v>24</v>
      </c>
    </row>
    <row r="81" spans="1:4" x14ac:dyDescent="0.35">
      <c r="A81" s="5">
        <v>51</v>
      </c>
      <c r="B81" s="6">
        <v>10</v>
      </c>
      <c r="C81" s="6">
        <v>12</v>
      </c>
      <c r="D81" s="6">
        <v>22</v>
      </c>
    </row>
    <row r="82" spans="1:4" x14ac:dyDescent="0.35">
      <c r="A82" s="5">
        <v>52</v>
      </c>
      <c r="B82" s="6">
        <v>10</v>
      </c>
      <c r="C82" s="6">
        <v>15</v>
      </c>
      <c r="D82" s="6">
        <v>25</v>
      </c>
    </row>
    <row r="83" spans="1:4" x14ac:dyDescent="0.35">
      <c r="A83" s="5">
        <v>53</v>
      </c>
      <c r="B83" s="6">
        <v>11</v>
      </c>
      <c r="C83" s="6">
        <v>13</v>
      </c>
      <c r="D83" s="6">
        <v>24</v>
      </c>
    </row>
    <row r="84" spans="1:4" x14ac:dyDescent="0.35">
      <c r="A84" s="5">
        <v>54</v>
      </c>
      <c r="B84" s="6">
        <v>5</v>
      </c>
      <c r="C84" s="6">
        <v>11</v>
      </c>
      <c r="D84" s="6">
        <v>16</v>
      </c>
    </row>
    <row r="85" spans="1:4" x14ac:dyDescent="0.35">
      <c r="A85" s="5">
        <v>55</v>
      </c>
      <c r="B85" s="6">
        <v>13</v>
      </c>
      <c r="C85" s="6">
        <v>5</v>
      </c>
      <c r="D85" s="6">
        <v>18</v>
      </c>
    </row>
    <row r="86" spans="1:4" x14ac:dyDescent="0.35">
      <c r="A86" s="5">
        <v>56</v>
      </c>
      <c r="B86" s="6">
        <v>13</v>
      </c>
      <c r="C86" s="6">
        <v>3</v>
      </c>
      <c r="D86" s="6">
        <v>16</v>
      </c>
    </row>
    <row r="87" spans="1:4" x14ac:dyDescent="0.35">
      <c r="A87" s="5">
        <v>57</v>
      </c>
      <c r="B87" s="6">
        <v>4</v>
      </c>
      <c r="C87" s="6">
        <v>4</v>
      </c>
      <c r="D87" s="6">
        <v>8</v>
      </c>
    </row>
    <row r="88" spans="1:4" x14ac:dyDescent="0.35">
      <c r="A88" s="5">
        <v>58</v>
      </c>
      <c r="B88" s="6">
        <v>8</v>
      </c>
      <c r="C88" s="6">
        <v>4</v>
      </c>
      <c r="D88" s="6">
        <v>12</v>
      </c>
    </row>
    <row r="89" spans="1:4" x14ac:dyDescent="0.35">
      <c r="A89" s="5">
        <v>59</v>
      </c>
      <c r="B89" s="6">
        <v>14</v>
      </c>
      <c r="C89" s="6">
        <v>6</v>
      </c>
      <c r="D89" s="6">
        <v>20</v>
      </c>
    </row>
    <row r="90" spans="1:4" x14ac:dyDescent="0.35">
      <c r="A90" s="5">
        <v>60</v>
      </c>
      <c r="B90" s="6">
        <v>8</v>
      </c>
      <c r="C90" s="6">
        <v>7</v>
      </c>
      <c r="D90" s="6">
        <v>15</v>
      </c>
    </row>
    <row r="91" spans="1:4" x14ac:dyDescent="0.35">
      <c r="A91" s="5">
        <v>61</v>
      </c>
      <c r="B91" s="6">
        <v>5</v>
      </c>
      <c r="C91" s="6">
        <v>4</v>
      </c>
      <c r="D91" s="6">
        <v>9</v>
      </c>
    </row>
    <row r="92" spans="1:4" x14ac:dyDescent="0.35">
      <c r="A92" s="5">
        <v>62</v>
      </c>
      <c r="B92" s="6">
        <v>9</v>
      </c>
      <c r="C92" s="6">
        <v>4</v>
      </c>
      <c r="D92" s="6">
        <v>13</v>
      </c>
    </row>
    <row r="93" spans="1:4" x14ac:dyDescent="0.35">
      <c r="A93" s="5">
        <v>63</v>
      </c>
      <c r="B93" s="6">
        <v>7</v>
      </c>
      <c r="C93" s="6">
        <v>2</v>
      </c>
      <c r="D93" s="6">
        <v>9</v>
      </c>
    </row>
    <row r="94" spans="1:4" x14ac:dyDescent="0.35">
      <c r="A94" s="5">
        <v>64</v>
      </c>
      <c r="B94" s="6">
        <v>7</v>
      </c>
      <c r="C94" s="6">
        <v>3</v>
      </c>
      <c r="D94" s="6">
        <v>10</v>
      </c>
    </row>
    <row r="95" spans="1:4" x14ac:dyDescent="0.35">
      <c r="A95" s="5">
        <v>65</v>
      </c>
      <c r="B95" s="6">
        <v>6</v>
      </c>
      <c r="C95" s="6">
        <v>3</v>
      </c>
      <c r="D95" s="6">
        <v>9</v>
      </c>
    </row>
    <row r="96" spans="1:4" x14ac:dyDescent="0.35">
      <c r="A96" s="5">
        <v>66</v>
      </c>
      <c r="B96" s="6">
        <v>8</v>
      </c>
      <c r="C96" s="6">
        <v>6</v>
      </c>
      <c r="D96" s="6">
        <v>14</v>
      </c>
    </row>
    <row r="97" spans="1:4" x14ac:dyDescent="0.35">
      <c r="A97" s="5">
        <v>67</v>
      </c>
      <c r="B97" s="6">
        <v>8</v>
      </c>
      <c r="C97" s="6">
        <v>2</v>
      </c>
      <c r="D97" s="6">
        <v>10</v>
      </c>
    </row>
    <row r="98" spans="1:4" x14ac:dyDescent="0.35">
      <c r="A98" s="5">
        <v>68</v>
      </c>
      <c r="B98" s="6">
        <v>3</v>
      </c>
      <c r="C98" s="6"/>
      <c r="D98" s="6">
        <v>3</v>
      </c>
    </row>
    <row r="99" spans="1:4" x14ac:dyDescent="0.35">
      <c r="A99" s="5">
        <v>69</v>
      </c>
      <c r="B99" s="6">
        <v>8</v>
      </c>
      <c r="C99" s="6"/>
      <c r="D99" s="6">
        <v>8</v>
      </c>
    </row>
    <row r="100" spans="1:4" x14ac:dyDescent="0.35">
      <c r="A100" s="5">
        <v>70</v>
      </c>
      <c r="B100" s="6">
        <v>3</v>
      </c>
      <c r="C100" s="6">
        <v>1</v>
      </c>
      <c r="D100" s="6">
        <v>4</v>
      </c>
    </row>
    <row r="101" spans="1:4" x14ac:dyDescent="0.35">
      <c r="A101" s="5">
        <v>71</v>
      </c>
      <c r="B101" s="6">
        <v>1</v>
      </c>
      <c r="C101" s="6"/>
      <c r="D101" s="6">
        <v>1</v>
      </c>
    </row>
    <row r="102" spans="1:4" x14ac:dyDescent="0.35">
      <c r="A102" s="5">
        <v>72</v>
      </c>
      <c r="B102" s="6"/>
      <c r="C102" s="6">
        <v>1</v>
      </c>
      <c r="D102" s="6">
        <v>1</v>
      </c>
    </row>
    <row r="103" spans="1:4" x14ac:dyDescent="0.35">
      <c r="A103" s="5">
        <v>73</v>
      </c>
      <c r="B103" s="6">
        <v>2</v>
      </c>
      <c r="C103" s="6">
        <v>2</v>
      </c>
      <c r="D103" s="6">
        <v>4</v>
      </c>
    </row>
    <row r="104" spans="1:4" x14ac:dyDescent="0.35">
      <c r="A104" s="5">
        <v>74</v>
      </c>
      <c r="B104" s="6"/>
      <c r="C104" s="6">
        <v>1</v>
      </c>
      <c r="D104" s="6">
        <v>1</v>
      </c>
    </row>
    <row r="105" spans="1:4" x14ac:dyDescent="0.35">
      <c r="A105" s="5">
        <v>78</v>
      </c>
      <c r="B105" s="6">
        <v>1</v>
      </c>
      <c r="C105" s="6">
        <v>1</v>
      </c>
      <c r="D105" s="6">
        <v>2</v>
      </c>
    </row>
    <row r="106" spans="1:4" x14ac:dyDescent="0.35">
      <c r="A106" s="5">
        <v>80</v>
      </c>
      <c r="B106" s="6">
        <v>1</v>
      </c>
      <c r="C106" s="6"/>
      <c r="D106" s="6">
        <v>1</v>
      </c>
    </row>
    <row r="107" spans="1:4" x14ac:dyDescent="0.35">
      <c r="A107" s="5">
        <v>89</v>
      </c>
      <c r="B107" s="6">
        <v>1</v>
      </c>
      <c r="C107" s="6"/>
      <c r="D107" s="6">
        <v>1</v>
      </c>
    </row>
    <row r="108" spans="1:4" x14ac:dyDescent="0.35">
      <c r="A108" s="5" t="s">
        <v>43</v>
      </c>
      <c r="B108" s="6">
        <v>519</v>
      </c>
      <c r="C108" s="6">
        <v>481</v>
      </c>
      <c r="D108"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405B8-4CF6-46E1-92D9-F574D86C0A0F}">
  <dimension ref="A1:M1027"/>
  <sheetViews>
    <sheetView workbookViewId="0"/>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Working Shee</vt:lpstr>
      <vt:lpstr>Dashbroad</vt:lpstr>
      <vt:lpstr>Pivot Table</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 Hieu Vu</cp:lastModifiedBy>
  <dcterms:created xsi:type="dcterms:W3CDTF">2022-03-18T02:50:57Z</dcterms:created>
  <dcterms:modified xsi:type="dcterms:W3CDTF">2026-03-12T18:20:34Z</dcterms:modified>
</cp:coreProperties>
</file>